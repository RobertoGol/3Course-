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Github\3Course-\Эксп.техн.ср.движ.поездов_(Фадеев_К.С.)\"/>
    </mc:Choice>
  </mc:AlternateContent>
  <xr:revisionPtr revIDLastSave="0" documentId="13_ncr:1_{67AF41ED-B623-40C4-ACE3-8B081D8C04B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H15" i="2"/>
  <c r="G15" i="2"/>
  <c r="E15" i="2"/>
</calcChain>
</file>

<file path=xl/sharedStrings.xml><?xml version="1.0" encoding="utf-8"?>
<sst xmlns="http://schemas.openxmlformats.org/spreadsheetml/2006/main" count="246" uniqueCount="159">
  <si>
    <t>Обслуживание устройства цифровая</t>
  </si>
  <si>
    <t>Цифра &lt;&lt;y&gt;&gt; в номере варианта</t>
  </si>
  <si>
    <t>Значения для филиал</t>
  </si>
  <si>
    <t>Устройства проводной связи</t>
  </si>
  <si>
    <t>АТС. Точек подключения (незадействованное/ задействовано)</t>
  </si>
  <si>
    <t>2400/2000</t>
  </si>
  <si>
    <t>1400/1000</t>
  </si>
  <si>
    <t>Лаз с цифровыми оконченными полукомплектами., канал</t>
  </si>
  <si>
    <t>Автоматическая цифровая ТС ,точек подключения</t>
  </si>
  <si>
    <t>Распорядительная станция связи комплект, диспетчерской по станционной</t>
  </si>
  <si>
    <t>Коммутаторы оперативно технологической связи номер</t>
  </si>
  <si>
    <t>Часы первичные электрические вторичные, шт</t>
  </si>
  <si>
    <t>25/125</t>
  </si>
  <si>
    <t>13/60</t>
  </si>
  <si>
    <t>Устройства радиосвязи</t>
  </si>
  <si>
    <t>Локомотивные радиостанции проездной связи р/ст &lt;&lt;чужих/своих&gt;&gt;</t>
  </si>
  <si>
    <t>0/250</t>
  </si>
  <si>
    <t>Станционных радиостанций проездной радиосвязи р/ст</t>
  </si>
  <si>
    <t>Радиостанция локомотивные станционной радиосвязи</t>
  </si>
  <si>
    <t>Радиостанция стационарной станционный и ремонтные оперативной радиосвязи и возимые р/ст</t>
  </si>
  <si>
    <t>Радиостанция информаторы комплект</t>
  </si>
  <si>
    <t>Цифра &lt;&lt;z&gt;&gt; в номере варианта</t>
  </si>
  <si>
    <t>Автоматизированные устройства для обслуживания пассажиров</t>
  </si>
  <si>
    <t>Информационная система отправления поездов знако-мест</t>
  </si>
  <si>
    <t>Промышленный телевизионные установки питающая камера</t>
  </si>
  <si>
    <t>Переговорное устройство типа &lt;&lt;пассажир-кассир&gt;&gt; шт</t>
  </si>
  <si>
    <t>Устройства вычислительной техники</t>
  </si>
  <si>
    <t>Персональный ЭВМ шт</t>
  </si>
  <si>
    <t>Модем канал</t>
  </si>
  <si>
    <t>Печатающее устройство шт</t>
  </si>
  <si>
    <t>Дисплей разного назначения шт</t>
  </si>
  <si>
    <t>-</t>
  </si>
  <si>
    <t>Аппаратура передачи данных комплект</t>
  </si>
  <si>
    <t>Параметр</t>
  </si>
  <si>
    <t>Цифра &lt;&lt;о&gt;&gt; в номере варианта</t>
  </si>
  <si>
    <t>Срок службы устройств радиосвязи, лет</t>
  </si>
  <si>
    <t>Количество приборов бесконтактной аппаратуры связи, шт</t>
  </si>
  <si>
    <t>Количество измерительных приборов в дистанции, шт</t>
  </si>
  <si>
    <t>Затраты времени и на капремонт, и на сопутствующие ему работы и &lt;&lt;окна&gt;&gt;, чел.-ч</t>
  </si>
  <si>
    <t>Факсимильные телеграфные аппараты,аппарат</t>
  </si>
  <si>
    <t>.3/1</t>
  </si>
  <si>
    <t>.5/2</t>
  </si>
  <si>
    <t>Факсимильные телеграфные аппараты, аппарат</t>
  </si>
  <si>
    <t>0/550</t>
  </si>
  <si>
    <t>Оборудование</t>
  </si>
  <si>
    <t>Количество оборудования на станции, расположенной на линии категории</t>
  </si>
  <si>
    <t>I</t>
  </si>
  <si>
    <t>II</t>
  </si>
  <si>
    <t>III</t>
  </si>
  <si>
    <t>IV</t>
  </si>
  <si>
    <t>Аппаратура ВЧ телефония:</t>
  </si>
  <si>
    <t>Цифровые оконечные оконченные полукомплекты,канал.</t>
  </si>
  <si>
    <t>Аналоговые оконечные оконченные полукомплекты,канал.</t>
  </si>
  <si>
    <t>Распорядительные станции подстанционной связи, комплект</t>
  </si>
  <si>
    <t>Телефонные аппараты, аппарат</t>
  </si>
  <si>
    <t>Промежуточные пункты ОТС,промпункт</t>
  </si>
  <si>
    <t>Аппаратура связи совещаний на станциях, комплект</t>
  </si>
  <si>
    <t>Радиостанции стационарные ПРС, р/ст</t>
  </si>
  <si>
    <t>Радиостанции стационарные СРС, р/ст</t>
  </si>
  <si>
    <t>Аппаратура регестрации служебных переговоров, комплект</t>
  </si>
  <si>
    <t xml:space="preserve"> </t>
  </si>
  <si>
    <t>Количество устройств = N</t>
  </si>
  <si>
    <t>Бригада по обслуживанию устройств ЛАЗА</t>
  </si>
  <si>
    <t>Аппаратура аналогового око-нечного оборудования с учетом измерения аппаратуры ВЧ теле-Фонирования</t>
  </si>
  <si>
    <t>Аппаратура цифрового око-нечного оборудования с учетом измерения аппаратуры ВЧ теле-фонирования</t>
  </si>
  <si>
    <t>Распорядительные станции диспетчерской связи (аппаратура OTC)</t>
  </si>
  <si>
    <t>Аппаратура связи совещаний</t>
  </si>
  <si>
    <t>Бригада по обслуживанию устройств телеграфной связи</t>
  </si>
  <si>
    <t>Аппаратура тонального теле-графирования</t>
  </si>
  <si>
    <t>Телеграфные станции:</t>
  </si>
  <si>
    <t>координатные</t>
  </si>
  <si>
    <t>электронные</t>
  </si>
  <si>
    <t>цифровые</t>
  </si>
  <si>
    <t>Телеграфные аппараты в дис-танции при отделении или управлении дороги:</t>
  </si>
  <si>
    <t>стартстопные, ленточные, рулонные</t>
  </si>
  <si>
    <t>Автоматизированное рабочее место телеграфиста</t>
  </si>
  <si>
    <t>Бригада по обслуживанию устройств АТС</t>
  </si>
  <si>
    <t>Автоматические телефонные станции в дистанции при НОД:</t>
  </si>
  <si>
    <t>электромеханические</t>
  </si>
  <si>
    <t>Узел автоматической комму-тации УАК</t>
  </si>
  <si>
    <t>Телефонные аппараты</t>
  </si>
  <si>
    <t>Бригада по обслуживанию устройств ЛПУ</t>
  </si>
  <si>
    <t>Аппаратура аналогового око-нечного оборудования с учетом измерения аппаратуры ВЧ теле-фонирования</t>
  </si>
  <si>
    <t>Аппаратура связи совещаний Распорядительные станции диспетчерской связи (ОТС)</t>
  </si>
  <si>
    <t>Промежуточные усилитель-ные станции</t>
  </si>
  <si>
    <t>Устройства автоматических телефонных станций ЛПУ</t>
  </si>
  <si>
    <t>.Автоматические телеграфные станции</t>
  </si>
  <si>
    <t>Телеграфные аппараты:</t>
  </si>
  <si>
    <t>Бригада по обслуживанию и централизованной замене уст-ройств проводной связи</t>
  </si>
  <si>
    <t>Промежуточные пункты из-бирательной связи</t>
  </si>
  <si>
    <t>Часы первичные, индикатор-ные</t>
  </si>
  <si>
    <t>Часы вторичные:</t>
  </si>
  <si>
    <t>наружные</t>
  </si>
  <si>
    <t>комнатные</t>
  </si>
  <si>
    <t>Коммутаторы междугород-ных и местных телефонных станций</t>
  </si>
  <si>
    <t>Кабельные линии связи с уче том измерения и ремонта кабеля и монтажа кабельных муфт:</t>
  </si>
  <si>
    <t>местной</t>
  </si>
  <si>
    <t>магистральной</t>
  </si>
  <si>
    <t>Воздушные лини связи:</t>
  </si>
  <si>
    <t>до 16 проводов</t>
  </si>
  <si>
    <t>свыше 16 проводов</t>
  </si>
  <si>
    <t>Бригада по обслуживанию и централизованной замене во-локонно-оптических линий связи</t>
  </si>
  <si>
    <t>Бригада по обслуживанию устройств поездной радио-связи</t>
  </si>
  <si>
    <t>Устройства поездной радио-связи</t>
  </si>
  <si>
    <t>Бригада по обслуживанию устройств радиорелейной связи</t>
  </si>
  <si>
    <t>Устройства радиорелейной связи типа РМ-24A,</t>
  </si>
  <si>
    <t>РМ-28/ПИХТАA-2</t>
  </si>
  <si>
    <t>Устройства радиорелейной связи типа РРС-1М и др.</t>
  </si>
  <si>
    <t>Радиорелейные линии</t>
  </si>
  <si>
    <t>Бригада по обслуживанию устройств станционной и ре-монтно-оперативной радио-связи</t>
  </si>
  <si>
    <t>Устройства станционной и ремонтно-оперативной радио-связи:</t>
  </si>
  <si>
    <t>радиостанция локомотивная</t>
  </si>
  <si>
    <t>распорядительные станции</t>
  </si>
  <si>
    <t>радиостанция стационарная</t>
  </si>
  <si>
    <t>радиостанция носимая</t>
  </si>
  <si>
    <t>усилитель 600, 1000 Вт</t>
  </si>
  <si>
    <t>усилитель 100 Вт</t>
  </si>
  <si>
    <t>усилитель 50 Вт</t>
  </si>
  <si>
    <t>аппаратура для регистра-ции служебных переговоров</t>
  </si>
  <si>
    <t>громкоговорители и звуко-вые колонки</t>
  </si>
  <si>
    <t>речевые информаторы</t>
  </si>
  <si>
    <t>Бригада по обслуживанию устройств магистральной ко-ротковолновой радиосвязи</t>
  </si>
  <si>
    <t>Радиопередатчики</t>
  </si>
  <si>
    <t>Циклон-М, ВЯЗ-М2</t>
  </si>
  <si>
    <t>Урал, Молния-2М</t>
  </si>
  <si>
    <t>Радиостанции:</t>
  </si>
  <si>
    <t>P-140</t>
  </si>
  <si>
    <t> Р-118 БМЗ</t>
  </si>
  <si>
    <t>P-820M</t>
  </si>
  <si>
    <t>передающие и приемные Антенно-фидерные</t>
  </si>
  <si>
    <t>устройства:</t>
  </si>
  <si>
    <t>широкополосный антенный усилитель</t>
  </si>
  <si>
    <t>коммутаторы антенные при-емные КАП-1, КАП-2</t>
  </si>
  <si>
    <t>Бригада по ремонту и заме-не аппаратуры радиосвязи</t>
  </si>
  <si>
    <t>Распорядительные станции поездной радиосвязи</t>
  </si>
  <si>
    <t>Станционная и ремонтно-оперативная радиосвязь</t>
  </si>
  <si>
    <t>Аппаратура для регистрации служебных переговоров</t>
  </si>
  <si>
    <t>Громкоговорители и звуко-вые колонки</t>
  </si>
  <si>
    <t>Речевые информаторы</t>
  </si>
  <si>
    <t>Бригада по техническому обслуживанию, ремонту и за-мене автоматизированных устройств для обслуживания пассажиров:</t>
  </si>
  <si>
    <t>автоматическая справочная установка</t>
  </si>
  <si>
    <t>билетопечатающая машина</t>
  </si>
  <si>
    <t>автоматические камеры хранения</t>
  </si>
  <si>
    <t>информационные системы отправления поездов</t>
  </si>
  <si>
    <t>механические указатели отправления</t>
  </si>
  <si>
    <t>промышленные телевизионные установки</t>
  </si>
  <si>
    <t>переговорно-передающее устройство «пассажир - кассир»</t>
  </si>
  <si>
    <t>электрический компостер</t>
  </si>
  <si>
    <t>Бригада по поверке и ре-монту измерительных прибо-ров</t>
  </si>
  <si>
    <t>Бригада по измерению ка-беля связи, защитных средств и бесконтактной аппаратуры:</t>
  </si>
  <si>
    <t>измерение и ремонт кабеля связи</t>
  </si>
  <si>
    <t>испытание защитных средств и инструмента</t>
  </si>
  <si>
    <t>проверка и ремонт бесконтактной аппаратуры</t>
  </si>
  <si>
    <t>Бригада по ведению техни-ческой документации и пас-портизации устройств связи</t>
  </si>
  <si>
    <t>Бригада по повышению на-дежности и обеспечению бес-перебойной работы устройств связи</t>
  </si>
  <si>
    <t>Персональная вычислительная машина</t>
  </si>
  <si>
    <t>Бригада дистанционной мастерской</t>
  </si>
  <si>
    <t>Бригада аварийно-восста-новительной летучки связи</t>
  </si>
  <si>
    <t>Бригада по механизации и автотранспорту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</si>
</sst>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1"/>
      <color rgb="FF000000"/>
      <name val="Google Sans Text"/>
    </font>
  </fonts>
  <fills count="8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" fontId="1" fillId="0" borderId="5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2" fontId="2" fillId="2" borderId="4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3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/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horizontal="left" vertical="center" indent="8"/>
    </xf>
    <xf numFmtId="0" fontId="2" fillId="6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6" fontId="6" fillId="0" borderId="5" xfId="0" applyNumberFormat="1" applyFont="1" applyBorder="1" applyAlignment="1">
      <alignment horizontal="center" vertical="center" wrapText="1"/>
    </xf>
    <xf numFmtId="16" fontId="7" fillId="2" borderId="5" xfId="0" applyNumberFormat="1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right" vertical="center"/>
    </xf>
    <xf numFmtId="0" fontId="5" fillId="0" borderId="4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right" vertical="center"/>
    </xf>
    <xf numFmtId="0" fontId="5" fillId="0" borderId="13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center" vertical="center" wrapText="1"/>
    </xf>
    <xf numFmtId="0" fontId="8" fillId="0" borderId="16" xfId="0" applyFont="1" applyBorder="1"/>
    <xf numFmtId="0" fontId="0" fillId="0" borderId="16" xfId="0" applyBorder="1"/>
    <xf numFmtId="0" fontId="3" fillId="0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0" fillId="0" borderId="18" xfId="0" applyBorder="1"/>
    <xf numFmtId="0" fontId="8" fillId="0" borderId="20" xfId="0" applyFont="1" applyBorder="1"/>
    <xf numFmtId="0" fontId="0" fillId="7" borderId="20" xfId="0" applyFill="1" applyBorder="1"/>
    <xf numFmtId="0" fontId="0" fillId="0" borderId="21" xfId="0" applyBorder="1"/>
    <xf numFmtId="0" fontId="8" fillId="0" borderId="22" xfId="0" applyFont="1" applyBorder="1"/>
    <xf numFmtId="0" fontId="0" fillId="0" borderId="23" xfId="0" applyBorder="1"/>
    <xf numFmtId="0" fontId="0" fillId="0" borderId="24" xfId="0" applyBorder="1"/>
    <xf numFmtId="0" fontId="3" fillId="0" borderId="2" xfId="0" applyFont="1" applyFill="1" applyBorder="1"/>
    <xf numFmtId="0" fontId="3" fillId="0" borderId="15" xfId="0" applyFont="1" applyFill="1" applyBorder="1"/>
    <xf numFmtId="0" fontId="0" fillId="0" borderId="15" xfId="0" applyBorder="1"/>
    <xf numFmtId="0" fontId="3" fillId="0" borderId="18" xfId="0" applyFont="1" applyFill="1" applyBorder="1" applyAlignment="1">
      <alignment horizontal="center" vertical="center"/>
    </xf>
    <xf numFmtId="0" fontId="3" fillId="0" borderId="19" xfId="0" applyFont="1" applyFill="1" applyBorder="1"/>
    <xf numFmtId="0" fontId="3" fillId="0" borderId="2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11</xdr:row>
      <xdr:rowOff>8165</xdr:rowOff>
    </xdr:from>
    <xdr:to>
      <xdr:col>5</xdr:col>
      <xdr:colOff>588758</xdr:colOff>
      <xdr:row>14</xdr:row>
      <xdr:rowOff>704850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6EEB2FB-45AD-ADCB-2F2A-231C7B30F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6732815"/>
          <a:ext cx="5217908" cy="21540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zoomScale="70" zoomScaleNormal="70" workbookViewId="0">
      <selection activeCell="A8" sqref="A8:C8"/>
    </sheetView>
  </sheetViews>
  <sheetFormatPr defaultRowHeight="15"/>
  <cols>
    <col min="1" max="1" width="38" customWidth="1"/>
    <col min="2" max="3" width="12.7109375" customWidth="1"/>
    <col min="5" max="5" width="35.5703125" customWidth="1"/>
    <col min="8" max="8" width="37.28515625" customWidth="1"/>
    <col min="9" max="9" width="16.85546875" customWidth="1"/>
    <col min="11" max="11" width="34.140625" customWidth="1"/>
    <col min="12" max="12" width="10.5703125" customWidth="1"/>
    <col min="14" max="14" width="48.85546875" customWidth="1"/>
    <col min="17" max="17" width="47.28515625" customWidth="1"/>
  </cols>
  <sheetData>
    <row r="1" spans="1:18" ht="75.75" thickBot="1">
      <c r="A1" s="26" t="s">
        <v>0</v>
      </c>
      <c r="B1" s="9" t="s">
        <v>1</v>
      </c>
      <c r="C1" s="12" t="s">
        <v>2</v>
      </c>
      <c r="H1" s="8" t="s">
        <v>0</v>
      </c>
      <c r="I1" s="9" t="s">
        <v>21</v>
      </c>
    </row>
    <row r="2" spans="1:18" ht="56.25" customHeight="1" thickBot="1">
      <c r="A2" s="27"/>
      <c r="B2" s="11">
        <v>7</v>
      </c>
      <c r="C2" s="13">
        <v>7</v>
      </c>
      <c r="H2" s="10"/>
      <c r="I2" s="11">
        <v>7</v>
      </c>
    </row>
    <row r="3" spans="1:18" ht="19.5" thickBot="1">
      <c r="A3" s="3">
        <v>1</v>
      </c>
      <c r="B3" s="1">
        <v>8</v>
      </c>
      <c r="C3" s="2">
        <v>8</v>
      </c>
      <c r="H3" s="3">
        <v>1</v>
      </c>
      <c r="I3" s="1">
        <v>8</v>
      </c>
    </row>
    <row r="4" spans="1:18" ht="19.5" thickBot="1">
      <c r="A4" s="24" t="s">
        <v>3</v>
      </c>
      <c r="B4" s="28"/>
      <c r="C4" s="25"/>
      <c r="E4" s="24" t="s">
        <v>14</v>
      </c>
      <c r="F4" s="25"/>
      <c r="H4" s="24" t="s">
        <v>3</v>
      </c>
      <c r="I4" s="25"/>
      <c r="K4" s="24" t="s">
        <v>22</v>
      </c>
      <c r="L4" s="25"/>
      <c r="N4" s="24" t="s">
        <v>14</v>
      </c>
      <c r="O4" s="25"/>
      <c r="Q4" s="24" t="s">
        <v>26</v>
      </c>
      <c r="R4" s="25"/>
    </row>
    <row r="5" spans="1:18" ht="37.5" customHeight="1" thickBot="1">
      <c r="A5" s="3" t="s">
        <v>4</v>
      </c>
      <c r="B5" s="1" t="s">
        <v>5</v>
      </c>
      <c r="C5" s="2" t="s">
        <v>6</v>
      </c>
      <c r="E5" s="3" t="s">
        <v>15</v>
      </c>
      <c r="F5" s="1" t="s">
        <v>16</v>
      </c>
      <c r="H5" s="3" t="s">
        <v>4</v>
      </c>
      <c r="I5" s="1" t="s">
        <v>6</v>
      </c>
      <c r="K5" s="3" t="s">
        <v>23</v>
      </c>
      <c r="L5" s="1">
        <v>37</v>
      </c>
      <c r="N5" s="3" t="s">
        <v>15</v>
      </c>
      <c r="O5" s="1" t="s">
        <v>16</v>
      </c>
      <c r="Q5" s="3" t="s">
        <v>27</v>
      </c>
      <c r="R5" s="1">
        <v>16</v>
      </c>
    </row>
    <row r="6" spans="1:18" ht="55.5" customHeight="1" thickBot="1">
      <c r="A6" s="3" t="s">
        <v>7</v>
      </c>
      <c r="B6" s="1">
        <v>570</v>
      </c>
      <c r="C6" s="2">
        <v>270</v>
      </c>
      <c r="E6" s="3" t="s">
        <v>17</v>
      </c>
      <c r="F6" s="1">
        <v>45</v>
      </c>
      <c r="H6" s="3" t="s">
        <v>7</v>
      </c>
      <c r="I6" s="1">
        <v>270</v>
      </c>
      <c r="K6" s="3" t="s">
        <v>24</v>
      </c>
      <c r="L6" s="1">
        <v>17</v>
      </c>
      <c r="N6" s="3" t="s">
        <v>17</v>
      </c>
      <c r="O6" s="1">
        <v>45</v>
      </c>
      <c r="Q6" s="3" t="s">
        <v>28</v>
      </c>
      <c r="R6" s="1">
        <v>3</v>
      </c>
    </row>
    <row r="7" spans="1:18" ht="57" thickBot="1">
      <c r="A7" s="3" t="s">
        <v>8</v>
      </c>
      <c r="B7" s="1">
        <v>7900</v>
      </c>
      <c r="C7" s="2">
        <v>2900</v>
      </c>
      <c r="E7" s="3" t="s">
        <v>18</v>
      </c>
      <c r="F7" s="1">
        <v>13</v>
      </c>
      <c r="H7" s="3" t="s">
        <v>8</v>
      </c>
      <c r="I7" s="1">
        <v>2900</v>
      </c>
      <c r="K7" s="3" t="s">
        <v>25</v>
      </c>
      <c r="L7" s="1">
        <v>43</v>
      </c>
      <c r="N7" s="3" t="s">
        <v>18</v>
      </c>
      <c r="O7" s="1">
        <v>13</v>
      </c>
      <c r="Q7" s="3" t="s">
        <v>29</v>
      </c>
      <c r="R7" s="1">
        <v>11</v>
      </c>
    </row>
    <row r="8" spans="1:18" ht="75.75" thickBot="1">
      <c r="A8" s="3" t="s">
        <v>39</v>
      </c>
      <c r="B8" s="1">
        <v>43</v>
      </c>
      <c r="C8" s="2">
        <v>19</v>
      </c>
      <c r="E8" s="3" t="s">
        <v>19</v>
      </c>
      <c r="F8" s="1">
        <v>46</v>
      </c>
      <c r="H8" s="3" t="s">
        <v>39</v>
      </c>
      <c r="I8" s="1">
        <v>19</v>
      </c>
      <c r="K8" s="24" t="s">
        <v>26</v>
      </c>
      <c r="L8" s="25"/>
      <c r="N8" s="3" t="s">
        <v>19</v>
      </c>
      <c r="O8" s="1">
        <v>46</v>
      </c>
      <c r="Q8" s="3" t="s">
        <v>30</v>
      </c>
      <c r="R8" s="1" t="s">
        <v>31</v>
      </c>
    </row>
    <row r="9" spans="1:18" ht="75.75" customHeight="1" thickBot="1">
      <c r="A9" s="3" t="s">
        <v>9</v>
      </c>
      <c r="B9" s="6" t="s">
        <v>41</v>
      </c>
      <c r="C9" s="7" t="s">
        <v>40</v>
      </c>
      <c r="E9" s="3" t="s">
        <v>20</v>
      </c>
      <c r="F9" s="1">
        <v>26</v>
      </c>
      <c r="H9" s="3" t="s">
        <v>9</v>
      </c>
      <c r="I9" s="4" t="s">
        <v>40</v>
      </c>
      <c r="K9" s="3" t="s">
        <v>27</v>
      </c>
      <c r="L9" s="1">
        <v>16</v>
      </c>
      <c r="N9" s="3" t="s">
        <v>20</v>
      </c>
      <c r="O9" s="1">
        <v>26</v>
      </c>
      <c r="Q9" s="3" t="s">
        <v>32</v>
      </c>
      <c r="R9" s="1">
        <v>7</v>
      </c>
    </row>
    <row r="10" spans="1:18" ht="36.75" customHeight="1" thickBot="1">
      <c r="A10" s="3" t="s">
        <v>10</v>
      </c>
      <c r="B10" s="1">
        <v>800</v>
      </c>
      <c r="C10" s="2">
        <v>900</v>
      </c>
      <c r="H10" s="3" t="s">
        <v>10</v>
      </c>
      <c r="I10" s="1">
        <v>900</v>
      </c>
      <c r="K10" s="3" t="s">
        <v>28</v>
      </c>
      <c r="L10" s="1">
        <v>3</v>
      </c>
      <c r="N10" s="24" t="s">
        <v>22</v>
      </c>
      <c r="O10" s="25"/>
      <c r="Q10" s="26" t="s">
        <v>33</v>
      </c>
      <c r="R10" s="9" t="s">
        <v>34</v>
      </c>
    </row>
    <row r="11" spans="1:18" ht="38.25" thickBot="1">
      <c r="A11" s="3" t="s">
        <v>11</v>
      </c>
      <c r="B11" s="14" t="s">
        <v>12</v>
      </c>
      <c r="C11" s="15" t="s">
        <v>13</v>
      </c>
      <c r="H11" s="3" t="s">
        <v>11</v>
      </c>
      <c r="I11" s="1" t="s">
        <v>13</v>
      </c>
      <c r="K11" s="3" t="s">
        <v>29</v>
      </c>
      <c r="L11" s="1">
        <v>11</v>
      </c>
      <c r="N11" s="3" t="s">
        <v>23</v>
      </c>
      <c r="O11" s="1">
        <v>37</v>
      </c>
      <c r="Q11" s="27"/>
      <c r="R11" s="11">
        <v>7</v>
      </c>
    </row>
    <row r="12" spans="1:18" ht="38.25" thickBot="1">
      <c r="B12" s="16"/>
      <c r="C12" s="17"/>
      <c r="D12" s="17"/>
      <c r="E12" s="17"/>
      <c r="F12" s="18"/>
      <c r="K12" s="3" t="s">
        <v>30</v>
      </c>
      <c r="L12" s="1" t="s">
        <v>31</v>
      </c>
      <c r="N12" s="3" t="s">
        <v>24</v>
      </c>
      <c r="O12" s="1">
        <v>17</v>
      </c>
      <c r="Q12" s="5" t="s">
        <v>35</v>
      </c>
      <c r="R12" s="1">
        <v>29</v>
      </c>
    </row>
    <row r="13" spans="1:18" ht="38.25" thickBot="1">
      <c r="B13" s="19"/>
      <c r="F13" s="20"/>
      <c r="K13" s="3" t="s">
        <v>32</v>
      </c>
      <c r="L13" s="1">
        <v>7</v>
      </c>
      <c r="N13" s="3" t="s">
        <v>25</v>
      </c>
      <c r="O13" s="1">
        <v>43</v>
      </c>
      <c r="Q13" s="5" t="s">
        <v>36</v>
      </c>
      <c r="R13" s="1">
        <v>5600</v>
      </c>
    </row>
    <row r="14" spans="1:18" ht="38.25" thickBot="1">
      <c r="B14" s="19"/>
      <c r="F14" s="20"/>
      <c r="Q14" s="5" t="s">
        <v>37</v>
      </c>
      <c r="R14" s="1">
        <v>850</v>
      </c>
    </row>
    <row r="15" spans="1:18" ht="57" thickBot="1">
      <c r="B15" s="21"/>
      <c r="C15" s="22"/>
      <c r="D15" s="22"/>
      <c r="E15" s="22"/>
      <c r="F15" s="23"/>
      <c r="Q15" s="5" t="s">
        <v>38</v>
      </c>
      <c r="R15" s="1">
        <v>1275</v>
      </c>
    </row>
    <row r="36" ht="19.5" customHeight="1"/>
    <row r="60" ht="78" customHeight="1"/>
  </sheetData>
  <mergeCells count="10">
    <mergeCell ref="A1:A2"/>
    <mergeCell ref="A4:C4"/>
    <mergeCell ref="K4:L4"/>
    <mergeCell ref="H4:I4"/>
    <mergeCell ref="E4:F4"/>
    <mergeCell ref="K8:L8"/>
    <mergeCell ref="N4:O4"/>
    <mergeCell ref="N10:O10"/>
    <mergeCell ref="Q4:R4"/>
    <mergeCell ref="Q10:Q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F1AB-B0DE-43D8-B9A0-8E05EC648D9C}">
  <dimension ref="A1:L137"/>
  <sheetViews>
    <sheetView tabSelected="1" topLeftCell="A23" zoomScale="82" zoomScaleNormal="82" workbookViewId="0">
      <selection activeCell="L27" sqref="L27"/>
    </sheetView>
  </sheetViews>
  <sheetFormatPr defaultRowHeight="15"/>
  <cols>
    <col min="1" max="1" width="34.140625" customWidth="1"/>
    <col min="2" max="2" width="23.28515625" customWidth="1"/>
    <col min="3" max="3" width="15.42578125" customWidth="1"/>
    <col min="5" max="5" width="25.42578125" customWidth="1"/>
    <col min="6" max="6" width="18.42578125" customWidth="1"/>
    <col min="7" max="7" width="17" customWidth="1"/>
    <col min="8" max="8" width="17.140625" customWidth="1"/>
    <col min="9" max="9" width="12.85546875" customWidth="1"/>
  </cols>
  <sheetData>
    <row r="1" spans="1:12" ht="15.75" thickBot="1"/>
    <row r="2" spans="1:12" ht="57" customHeight="1" thickBot="1">
      <c r="A2" s="34" t="s">
        <v>0</v>
      </c>
      <c r="B2" s="31" t="s">
        <v>1</v>
      </c>
      <c r="C2" s="32" t="s">
        <v>2</v>
      </c>
      <c r="D2" s="42"/>
      <c r="E2" s="30" t="s">
        <v>1</v>
      </c>
      <c r="G2" s="56" t="s">
        <v>2</v>
      </c>
      <c r="H2" s="54"/>
      <c r="I2" s="54"/>
    </row>
    <row r="3" spans="1:12" ht="19.5" thickBot="1">
      <c r="A3" s="29"/>
      <c r="B3" s="1">
        <v>7</v>
      </c>
      <c r="C3" s="2">
        <v>7</v>
      </c>
      <c r="D3" s="42"/>
      <c r="E3" s="3">
        <v>7</v>
      </c>
      <c r="G3" s="57">
        <v>7</v>
      </c>
      <c r="H3" s="55"/>
      <c r="I3" s="54"/>
    </row>
    <row r="4" spans="1:12" ht="19.5" thickBot="1">
      <c r="A4" s="3">
        <v>1</v>
      </c>
      <c r="B4" s="1">
        <v>8</v>
      </c>
      <c r="C4" s="2">
        <v>8</v>
      </c>
      <c r="D4" s="42"/>
      <c r="E4" s="36">
        <v>8</v>
      </c>
      <c r="G4" s="57">
        <v>8</v>
      </c>
      <c r="H4" s="55"/>
      <c r="I4" s="55"/>
    </row>
    <row r="5" spans="1:12" ht="19.5" customHeight="1" thickBot="1">
      <c r="A5" s="38" t="s">
        <v>3</v>
      </c>
      <c r="B5" s="39"/>
      <c r="C5" s="33"/>
      <c r="D5" s="42"/>
      <c r="E5" s="38" t="s">
        <v>3</v>
      </c>
      <c r="F5" s="39"/>
      <c r="G5" s="39"/>
      <c r="H5" s="33"/>
      <c r="I5" s="55"/>
    </row>
    <row r="6" spans="1:12" ht="58.5" customHeight="1" thickBot="1">
      <c r="A6" s="50" t="s">
        <v>4</v>
      </c>
      <c r="B6" s="73" t="s">
        <v>5</v>
      </c>
      <c r="C6" s="74" t="s">
        <v>6</v>
      </c>
      <c r="D6" s="41"/>
      <c r="E6" s="77">
        <v>2400</v>
      </c>
      <c r="F6" s="78">
        <v>2000</v>
      </c>
      <c r="G6" s="77">
        <v>1400</v>
      </c>
      <c r="H6" s="78">
        <v>1000</v>
      </c>
      <c r="I6" s="52"/>
    </row>
    <row r="7" spans="1:12" ht="57" thickBot="1">
      <c r="A7" s="50" t="s">
        <v>7</v>
      </c>
      <c r="B7" s="73">
        <v>570</v>
      </c>
      <c r="C7" s="74">
        <v>270</v>
      </c>
      <c r="D7" s="41"/>
      <c r="E7" s="58"/>
      <c r="F7" s="59"/>
      <c r="G7" s="59"/>
      <c r="H7" s="60"/>
      <c r="I7" s="52"/>
    </row>
    <row r="8" spans="1:12" ht="36.75" customHeight="1" thickBot="1">
      <c r="A8" s="50" t="s">
        <v>8</v>
      </c>
      <c r="B8" s="73">
        <v>7900</v>
      </c>
      <c r="C8" s="74">
        <v>2900</v>
      </c>
      <c r="D8" s="41"/>
      <c r="E8" s="61"/>
      <c r="F8" s="62"/>
      <c r="G8" s="62"/>
      <c r="H8" s="63"/>
      <c r="I8" s="52"/>
    </row>
    <row r="9" spans="1:12" ht="35.25" customHeight="1" thickBot="1">
      <c r="A9" s="50" t="s">
        <v>42</v>
      </c>
      <c r="B9" s="73">
        <v>43</v>
      </c>
      <c r="C9" s="74">
        <v>19</v>
      </c>
      <c r="D9" s="41"/>
      <c r="E9" s="64"/>
      <c r="F9" s="65"/>
      <c r="G9" s="65"/>
      <c r="H9" s="66"/>
      <c r="I9" s="52"/>
    </row>
    <row r="10" spans="1:12" ht="75.75" thickBot="1">
      <c r="A10" s="50" t="s">
        <v>9</v>
      </c>
      <c r="B10" s="75" t="s">
        <v>41</v>
      </c>
      <c r="C10" s="76" t="s">
        <v>40</v>
      </c>
      <c r="D10" s="41"/>
      <c r="E10" s="77">
        <v>5</v>
      </c>
      <c r="F10" s="78">
        <v>2</v>
      </c>
      <c r="G10" s="77">
        <v>3</v>
      </c>
      <c r="H10" s="78">
        <v>1</v>
      </c>
      <c r="I10" s="52"/>
    </row>
    <row r="11" spans="1:12" ht="57" thickBot="1">
      <c r="A11" s="50" t="s">
        <v>10</v>
      </c>
      <c r="B11" s="73">
        <v>800</v>
      </c>
      <c r="C11" s="74">
        <v>900</v>
      </c>
      <c r="D11" s="41"/>
      <c r="E11" s="67" t="s">
        <v>60</v>
      </c>
      <c r="F11" s="68"/>
      <c r="G11" s="68"/>
      <c r="H11" s="69"/>
      <c r="I11" s="52"/>
    </row>
    <row r="12" spans="1:12" ht="57" thickBot="1">
      <c r="A12" s="50" t="s">
        <v>11</v>
      </c>
      <c r="B12" s="73" t="s">
        <v>12</v>
      </c>
      <c r="C12" s="74" t="s">
        <v>13</v>
      </c>
      <c r="D12" s="41"/>
      <c r="E12" s="77">
        <v>25</v>
      </c>
      <c r="F12" s="78">
        <v>125</v>
      </c>
      <c r="G12" s="77">
        <v>13</v>
      </c>
      <c r="H12" s="78">
        <v>60</v>
      </c>
      <c r="I12" s="52"/>
    </row>
    <row r="13" spans="1:12" ht="18.75" customHeight="1" thickBot="1">
      <c r="A13" s="38" t="s">
        <v>14</v>
      </c>
      <c r="B13" s="39"/>
      <c r="C13" s="33"/>
      <c r="D13" s="41"/>
      <c r="E13" s="67"/>
      <c r="F13" s="68"/>
      <c r="G13" s="68"/>
      <c r="H13" s="69"/>
      <c r="I13" s="52"/>
    </row>
    <row r="14" spans="1:12" ht="75.75" thickBot="1">
      <c r="A14" s="3" t="s">
        <v>15</v>
      </c>
      <c r="B14" s="73" t="s">
        <v>43</v>
      </c>
      <c r="C14" s="81" t="s">
        <v>16</v>
      </c>
      <c r="D14" s="41"/>
      <c r="E14" s="79">
        <v>0</v>
      </c>
      <c r="F14" s="80">
        <v>550</v>
      </c>
      <c r="G14" s="79">
        <v>0</v>
      </c>
      <c r="H14" s="80">
        <v>250</v>
      </c>
      <c r="I14" s="52"/>
    </row>
    <row r="15" spans="1:12" ht="44.25" customHeight="1" thickBot="1">
      <c r="A15" s="3" t="s">
        <v>17</v>
      </c>
      <c r="B15" s="73">
        <v>89</v>
      </c>
      <c r="C15" s="81">
        <v>45</v>
      </c>
      <c r="D15" s="41"/>
      <c r="E15" s="70">
        <f>B28+B26+B25+B24+B22+B21+B20+B18+B17+B16+B15+B11+B9+B8+B7+E6+E10+E12+E14</f>
        <v>12266</v>
      </c>
      <c r="F15" s="71">
        <f>C7+C8+C9+C11+C15+C16+C17+C18+C20+C21+C22+C24+C25+C26+C28+F6+F10+F12+F14</f>
        <v>7030</v>
      </c>
      <c r="G15" s="70">
        <f>C7+C8+C9+C11+C15+C16+C17+C18+C20+C21+C22+C24+C25+C26+G6+G10+G12+G14</f>
        <v>5762</v>
      </c>
      <c r="H15" s="72">
        <f>C7+C8+C9+C11+C15+C16+C17+C18+C20+C21+C22+C24+C25+C26+H6+H10+H12+H14</f>
        <v>5657</v>
      </c>
      <c r="I15" s="67" t="s">
        <v>61</v>
      </c>
      <c r="J15" s="68"/>
      <c r="K15" s="68"/>
      <c r="L15" s="69"/>
    </row>
    <row r="16" spans="1:12" ht="57.75" customHeight="1" thickBot="1">
      <c r="A16" s="3" t="s">
        <v>18</v>
      </c>
      <c r="B16" s="73">
        <v>29</v>
      </c>
      <c r="C16" s="81">
        <v>13</v>
      </c>
      <c r="D16" s="41"/>
      <c r="E16" s="51"/>
      <c r="F16" s="53"/>
      <c r="G16" s="52"/>
      <c r="H16" s="52"/>
      <c r="I16" s="52"/>
    </row>
    <row r="17" spans="1:9" ht="75.75" customHeight="1" thickBot="1">
      <c r="A17" s="3" t="s">
        <v>19</v>
      </c>
      <c r="B17" s="73">
        <v>85</v>
      </c>
      <c r="C17" s="81">
        <v>46</v>
      </c>
      <c r="D17" s="41"/>
      <c r="E17" s="51"/>
      <c r="F17" s="53"/>
      <c r="G17" s="52"/>
      <c r="H17" s="52"/>
      <c r="I17" s="52"/>
    </row>
    <row r="18" spans="1:9" ht="38.25" thickBot="1">
      <c r="A18" s="3" t="s">
        <v>20</v>
      </c>
      <c r="B18" s="73">
        <v>53</v>
      </c>
      <c r="C18" s="81">
        <v>26</v>
      </c>
      <c r="D18" s="41"/>
      <c r="E18" s="51"/>
      <c r="F18" s="53"/>
      <c r="G18" s="52"/>
      <c r="H18" s="52"/>
      <c r="I18" s="52"/>
    </row>
    <row r="19" spans="1:9" ht="30.75" customHeight="1" thickBot="1">
      <c r="A19" s="38" t="s">
        <v>22</v>
      </c>
      <c r="B19" s="39"/>
      <c r="C19" s="33"/>
      <c r="D19" s="40"/>
      <c r="E19" s="51"/>
      <c r="F19" s="53"/>
      <c r="G19" s="52"/>
      <c r="H19" s="52"/>
      <c r="I19" s="52"/>
    </row>
    <row r="20" spans="1:9" ht="57" thickBot="1">
      <c r="A20" s="3" t="s">
        <v>23</v>
      </c>
      <c r="B20" s="73">
        <v>74</v>
      </c>
      <c r="C20" s="81">
        <v>37</v>
      </c>
      <c r="D20" s="40"/>
      <c r="E20" s="51"/>
      <c r="F20" s="53"/>
      <c r="G20" s="52"/>
      <c r="H20" s="52"/>
      <c r="I20" s="52"/>
    </row>
    <row r="21" spans="1:9" ht="57" thickBot="1">
      <c r="A21" s="3" t="s">
        <v>24</v>
      </c>
      <c r="B21" s="73">
        <v>35</v>
      </c>
      <c r="C21" s="81">
        <v>17</v>
      </c>
      <c r="D21" s="40"/>
      <c r="E21" s="51"/>
      <c r="F21" s="53"/>
      <c r="G21" s="52"/>
      <c r="H21" s="52"/>
      <c r="I21" s="52"/>
    </row>
    <row r="22" spans="1:9" ht="57" thickBot="1">
      <c r="A22" s="3" t="s">
        <v>25</v>
      </c>
      <c r="B22" s="73">
        <v>86</v>
      </c>
      <c r="C22" s="81">
        <v>43</v>
      </c>
      <c r="E22" s="51"/>
      <c r="F22" s="52"/>
      <c r="G22" s="52"/>
      <c r="H22" s="52"/>
      <c r="I22" s="52"/>
    </row>
    <row r="23" spans="1:9" ht="19.5" thickBot="1">
      <c r="A23" s="38" t="s">
        <v>26</v>
      </c>
      <c r="B23" s="39"/>
      <c r="C23" s="33"/>
      <c r="E23" s="51"/>
      <c r="F23" s="52"/>
      <c r="G23" s="52"/>
      <c r="H23" s="52"/>
      <c r="I23" s="52"/>
    </row>
    <row r="24" spans="1:9" ht="21" thickBot="1">
      <c r="A24" s="3" t="s">
        <v>27</v>
      </c>
      <c r="B24" s="73">
        <v>33</v>
      </c>
      <c r="C24" s="81">
        <v>16</v>
      </c>
      <c r="E24" s="51"/>
      <c r="F24" s="52"/>
      <c r="G24" s="52"/>
      <c r="H24" s="52"/>
      <c r="I24" s="52"/>
    </row>
    <row r="25" spans="1:9" ht="21" thickBot="1">
      <c r="A25" s="3" t="s">
        <v>28</v>
      </c>
      <c r="B25" s="73">
        <v>5</v>
      </c>
      <c r="C25" s="81">
        <v>3</v>
      </c>
      <c r="E25" s="51"/>
      <c r="F25" s="52"/>
      <c r="G25" s="52"/>
      <c r="H25" s="52"/>
      <c r="I25" s="52"/>
    </row>
    <row r="26" spans="1:9" ht="21" thickBot="1">
      <c r="A26" s="3" t="s">
        <v>29</v>
      </c>
      <c r="B26" s="73">
        <v>21</v>
      </c>
      <c r="C26" s="81">
        <v>11</v>
      </c>
      <c r="E26" s="51"/>
      <c r="F26" s="52"/>
      <c r="G26" s="52"/>
      <c r="H26" s="52"/>
      <c r="I26" s="52"/>
    </row>
    <row r="27" spans="1:9" ht="38.25" thickBot="1">
      <c r="A27" s="3" t="s">
        <v>30</v>
      </c>
      <c r="B27" s="73" t="s">
        <v>31</v>
      </c>
      <c r="C27" s="81" t="s">
        <v>31</v>
      </c>
      <c r="E27" s="51"/>
      <c r="F27" s="52"/>
      <c r="G27" s="52"/>
      <c r="H27" s="52"/>
      <c r="I27" s="52"/>
    </row>
    <row r="28" spans="1:9" ht="38.25" thickBot="1">
      <c r="A28" s="3" t="s">
        <v>32</v>
      </c>
      <c r="B28" s="73">
        <v>13</v>
      </c>
      <c r="C28" s="81">
        <v>7</v>
      </c>
      <c r="E28" s="51"/>
      <c r="F28" s="52"/>
      <c r="G28" s="52"/>
      <c r="H28" s="52"/>
      <c r="I28" s="52"/>
    </row>
    <row r="29" spans="1:9">
      <c r="E29" s="51"/>
      <c r="F29" s="52"/>
      <c r="G29" s="52"/>
      <c r="H29" s="52"/>
      <c r="I29" s="52"/>
    </row>
    <row r="30" spans="1:9">
      <c r="E30" s="51"/>
      <c r="F30" s="52"/>
      <c r="G30" s="52"/>
      <c r="H30" s="52"/>
      <c r="I30" s="52"/>
    </row>
    <row r="31" spans="1:9" ht="15.75" thickBot="1">
      <c r="E31" s="51"/>
      <c r="F31" s="52"/>
      <c r="G31" s="52"/>
      <c r="H31" s="52"/>
      <c r="I31" s="52"/>
    </row>
    <row r="32" spans="1:9">
      <c r="A32" s="85" t="s">
        <v>62</v>
      </c>
      <c r="B32" s="86"/>
      <c r="C32" s="86"/>
      <c r="D32" s="86"/>
      <c r="E32" s="96"/>
      <c r="F32" s="97"/>
      <c r="G32" s="93"/>
      <c r="H32" s="52"/>
      <c r="I32" s="52"/>
    </row>
    <row r="33" spans="1:9">
      <c r="A33" s="87" t="s">
        <v>63</v>
      </c>
      <c r="B33" s="83"/>
      <c r="C33" s="83"/>
      <c r="D33" s="83"/>
      <c r="E33" s="84"/>
      <c r="F33" s="98"/>
      <c r="G33" s="94"/>
      <c r="H33" s="52"/>
      <c r="I33" s="52"/>
    </row>
    <row r="34" spans="1:9">
      <c r="A34" s="87" t="s">
        <v>64</v>
      </c>
      <c r="B34" s="83"/>
      <c r="C34" s="83"/>
      <c r="D34" s="83"/>
      <c r="E34" s="84"/>
      <c r="F34" s="98"/>
      <c r="G34" s="94"/>
      <c r="H34" s="52"/>
      <c r="I34" s="52"/>
    </row>
    <row r="35" spans="1:9">
      <c r="A35" s="87" t="s">
        <v>65</v>
      </c>
      <c r="B35" s="83"/>
      <c r="C35" s="83"/>
      <c r="D35" s="83"/>
      <c r="E35" s="84"/>
      <c r="F35" s="98"/>
      <c r="G35" s="94"/>
      <c r="H35" s="52"/>
      <c r="I35" s="52"/>
    </row>
    <row r="36" spans="1:9">
      <c r="A36" s="87" t="s">
        <v>66</v>
      </c>
      <c r="B36" s="83"/>
      <c r="C36" s="83"/>
      <c r="D36" s="83"/>
      <c r="E36" s="84"/>
      <c r="F36" s="98"/>
      <c r="G36" s="94"/>
      <c r="H36" s="52"/>
      <c r="I36" s="52"/>
    </row>
    <row r="37" spans="1:9">
      <c r="A37" s="87" t="s">
        <v>67</v>
      </c>
      <c r="B37" s="83"/>
      <c r="C37" s="83"/>
      <c r="D37" s="83"/>
      <c r="E37" s="84"/>
      <c r="F37" s="98"/>
      <c r="G37" s="94"/>
      <c r="H37" s="52"/>
      <c r="I37" s="52"/>
    </row>
    <row r="38" spans="1:9">
      <c r="A38" s="87" t="s">
        <v>68</v>
      </c>
      <c r="B38" s="83"/>
      <c r="C38" s="83"/>
      <c r="D38" s="83"/>
      <c r="E38" s="84"/>
      <c r="F38" s="98"/>
      <c r="G38" s="94"/>
      <c r="H38" s="52"/>
      <c r="I38" s="52"/>
    </row>
    <row r="39" spans="1:9">
      <c r="A39" s="87" t="s">
        <v>69</v>
      </c>
      <c r="B39" s="83"/>
      <c r="C39" s="83"/>
      <c r="D39" s="83"/>
      <c r="E39" s="84"/>
      <c r="F39" s="98"/>
      <c r="G39" s="94"/>
      <c r="H39" s="52"/>
      <c r="I39" s="52"/>
    </row>
    <row r="40" spans="1:9">
      <c r="A40" s="88"/>
      <c r="B40" s="82" t="s">
        <v>70</v>
      </c>
      <c r="C40" s="83"/>
      <c r="D40" s="83"/>
      <c r="E40" s="83"/>
      <c r="F40" s="89"/>
      <c r="G40" s="95"/>
    </row>
    <row r="41" spans="1:9">
      <c r="A41" s="88"/>
      <c r="B41" s="82" t="s">
        <v>71</v>
      </c>
      <c r="C41" s="83"/>
      <c r="D41" s="83"/>
      <c r="E41" s="83"/>
      <c r="F41" s="89"/>
      <c r="G41" s="95"/>
    </row>
    <row r="42" spans="1:9">
      <c r="A42" s="88"/>
      <c r="B42" s="82" t="s">
        <v>72</v>
      </c>
      <c r="C42" s="83"/>
      <c r="D42" s="83"/>
      <c r="E42" s="83"/>
      <c r="F42" s="89"/>
      <c r="G42" s="95"/>
    </row>
    <row r="43" spans="1:9">
      <c r="A43" s="87" t="s">
        <v>73</v>
      </c>
      <c r="B43" s="83"/>
      <c r="C43" s="83"/>
      <c r="D43" s="83"/>
      <c r="E43" s="83"/>
      <c r="F43" s="89"/>
      <c r="G43" s="95"/>
    </row>
    <row r="44" spans="1:9">
      <c r="A44" s="88"/>
      <c r="B44" s="82" t="s">
        <v>74</v>
      </c>
      <c r="C44" s="83"/>
      <c r="D44" s="83"/>
      <c r="E44" s="83"/>
      <c r="F44" s="89"/>
      <c r="G44" s="95"/>
    </row>
    <row r="45" spans="1:9">
      <c r="A45" s="88"/>
      <c r="B45" s="82" t="s">
        <v>71</v>
      </c>
      <c r="C45" s="83"/>
      <c r="D45" s="83"/>
      <c r="E45" s="83"/>
      <c r="F45" s="89"/>
      <c r="G45" s="95"/>
    </row>
    <row r="46" spans="1:9">
      <c r="A46" s="88"/>
      <c r="B46" s="82" t="s">
        <v>72</v>
      </c>
      <c r="C46" s="83"/>
      <c r="D46" s="83"/>
      <c r="E46" s="83"/>
      <c r="F46" s="89"/>
      <c r="G46" s="95"/>
    </row>
    <row r="47" spans="1:9">
      <c r="A47" s="87" t="s">
        <v>75</v>
      </c>
      <c r="B47" s="83"/>
      <c r="C47" s="83"/>
      <c r="D47" s="83"/>
      <c r="E47" s="83"/>
      <c r="F47" s="89"/>
      <c r="G47" s="95"/>
    </row>
    <row r="48" spans="1:9">
      <c r="A48" s="87" t="s">
        <v>76</v>
      </c>
      <c r="B48" s="83"/>
      <c r="C48" s="83"/>
      <c r="D48" s="83"/>
      <c r="E48" s="83"/>
      <c r="F48" s="89"/>
      <c r="G48" s="95"/>
    </row>
    <row r="49" spans="1:7">
      <c r="A49" s="87" t="s">
        <v>77</v>
      </c>
      <c r="B49" s="83"/>
      <c r="C49" s="83"/>
      <c r="D49" s="83"/>
      <c r="E49" s="83"/>
      <c r="F49" s="89"/>
      <c r="G49" s="95"/>
    </row>
    <row r="50" spans="1:7">
      <c r="A50" s="88"/>
      <c r="B50" s="82" t="s">
        <v>78</v>
      </c>
      <c r="C50" s="83"/>
      <c r="D50" s="83"/>
      <c r="E50" s="83"/>
      <c r="F50" s="89"/>
      <c r="G50" s="95"/>
    </row>
    <row r="51" spans="1:7">
      <c r="A51" s="88"/>
      <c r="B51" s="82" t="s">
        <v>71</v>
      </c>
      <c r="C51" s="83"/>
      <c r="D51" s="83"/>
      <c r="E51" s="83"/>
      <c r="F51" s="89"/>
      <c r="G51" s="95"/>
    </row>
    <row r="52" spans="1:7">
      <c r="A52" s="88"/>
      <c r="B52" s="82" t="s">
        <v>72</v>
      </c>
      <c r="C52" s="83"/>
      <c r="D52" s="83"/>
      <c r="E52" s="83"/>
      <c r="F52" s="89"/>
      <c r="G52" s="95"/>
    </row>
    <row r="53" spans="1:7">
      <c r="A53" s="87" t="s">
        <v>79</v>
      </c>
      <c r="B53" s="83"/>
      <c r="C53" s="83"/>
      <c r="D53" s="83"/>
      <c r="E53" s="83"/>
      <c r="F53" s="89"/>
      <c r="G53" s="95"/>
    </row>
    <row r="54" spans="1:7">
      <c r="A54" s="87" t="s">
        <v>80</v>
      </c>
      <c r="B54" s="83"/>
      <c r="C54" s="83"/>
      <c r="D54" s="83"/>
      <c r="E54" s="83"/>
      <c r="F54" s="89"/>
      <c r="G54" s="95"/>
    </row>
    <row r="55" spans="1:7">
      <c r="A55" s="87" t="s">
        <v>81</v>
      </c>
      <c r="B55" s="83"/>
      <c r="C55" s="83"/>
      <c r="D55" s="83"/>
      <c r="E55" s="83"/>
      <c r="F55" s="89"/>
      <c r="G55" s="95"/>
    </row>
    <row r="56" spans="1:7">
      <c r="A56" s="87" t="s">
        <v>82</v>
      </c>
      <c r="B56" s="83"/>
      <c r="C56" s="83"/>
      <c r="D56" s="83"/>
      <c r="E56" s="83"/>
      <c r="F56" s="89"/>
      <c r="G56" s="95"/>
    </row>
    <row r="57" spans="1:7">
      <c r="A57" s="87" t="s">
        <v>64</v>
      </c>
      <c r="B57" s="83"/>
      <c r="C57" s="83"/>
      <c r="D57" s="83"/>
      <c r="E57" s="83"/>
      <c r="F57" s="89"/>
      <c r="G57" s="95"/>
    </row>
    <row r="58" spans="1:7">
      <c r="A58" s="87" t="s">
        <v>83</v>
      </c>
      <c r="B58" s="83"/>
      <c r="C58" s="83"/>
      <c r="D58" s="83"/>
      <c r="E58" s="83"/>
      <c r="F58" s="89"/>
      <c r="G58" s="95"/>
    </row>
    <row r="59" spans="1:7">
      <c r="A59" s="87" t="s">
        <v>84</v>
      </c>
      <c r="B59" s="83"/>
      <c r="C59" s="83"/>
      <c r="D59" s="83"/>
      <c r="E59" s="83"/>
      <c r="F59" s="89"/>
      <c r="G59" s="95"/>
    </row>
    <row r="60" spans="1:7">
      <c r="A60" s="87" t="s">
        <v>85</v>
      </c>
      <c r="B60" s="83"/>
      <c r="C60" s="83"/>
      <c r="D60" s="83"/>
      <c r="E60" s="83"/>
      <c r="F60" s="89"/>
      <c r="G60" s="95"/>
    </row>
    <row r="61" spans="1:7">
      <c r="A61" s="87" t="s">
        <v>86</v>
      </c>
      <c r="B61" s="83"/>
      <c r="C61" s="83"/>
      <c r="D61" s="83"/>
      <c r="E61" s="83"/>
      <c r="F61" s="89"/>
      <c r="G61" s="95"/>
    </row>
    <row r="62" spans="1:7">
      <c r="A62" s="87" t="s">
        <v>87</v>
      </c>
      <c r="B62" s="83"/>
      <c r="C62" s="83"/>
      <c r="D62" s="83"/>
      <c r="E62" s="83"/>
      <c r="F62" s="89"/>
      <c r="G62" s="95"/>
    </row>
    <row r="63" spans="1:7">
      <c r="A63" s="88"/>
      <c r="B63" s="82" t="s">
        <v>74</v>
      </c>
      <c r="C63" s="83"/>
      <c r="D63" s="83"/>
      <c r="E63" s="83"/>
      <c r="F63" s="89"/>
      <c r="G63" s="95"/>
    </row>
    <row r="64" spans="1:7">
      <c r="A64" s="88"/>
      <c r="B64" s="82" t="s">
        <v>71</v>
      </c>
      <c r="C64" s="83"/>
      <c r="D64" s="83"/>
      <c r="E64" s="83"/>
      <c r="F64" s="89"/>
      <c r="G64" s="95"/>
    </row>
    <row r="65" spans="1:7">
      <c r="A65" s="87" t="s">
        <v>88</v>
      </c>
      <c r="B65" s="83"/>
      <c r="C65" s="83"/>
      <c r="D65" s="83"/>
      <c r="E65" s="83"/>
      <c r="F65" s="89"/>
      <c r="G65" s="95"/>
    </row>
    <row r="66" spans="1:7">
      <c r="A66" s="87" t="s">
        <v>89</v>
      </c>
      <c r="B66" s="83"/>
      <c r="C66" s="83"/>
      <c r="D66" s="83"/>
      <c r="E66" s="83"/>
      <c r="F66" s="89"/>
      <c r="G66" s="95"/>
    </row>
    <row r="67" spans="1:7">
      <c r="A67" s="87" t="s">
        <v>90</v>
      </c>
      <c r="B67" s="83"/>
      <c r="C67" s="83"/>
      <c r="D67" s="83"/>
      <c r="E67" s="83"/>
      <c r="F67" s="89"/>
      <c r="G67" s="95"/>
    </row>
    <row r="68" spans="1:7">
      <c r="A68" s="87" t="s">
        <v>91</v>
      </c>
      <c r="B68" s="83"/>
      <c r="C68" s="83"/>
      <c r="D68" s="83"/>
      <c r="E68" s="83"/>
      <c r="F68" s="89"/>
      <c r="G68" s="95"/>
    </row>
    <row r="69" spans="1:7">
      <c r="A69" s="88"/>
      <c r="B69" s="82" t="s">
        <v>92</v>
      </c>
      <c r="C69" s="83"/>
      <c r="D69" s="83"/>
      <c r="E69" s="83"/>
      <c r="F69" s="89"/>
      <c r="G69" s="95"/>
    </row>
    <row r="70" spans="1:7">
      <c r="A70" s="88"/>
      <c r="B70" s="82" t="s">
        <v>93</v>
      </c>
      <c r="C70" s="83"/>
      <c r="D70" s="83"/>
      <c r="E70" s="83"/>
      <c r="F70" s="89"/>
      <c r="G70" s="95"/>
    </row>
    <row r="71" spans="1:7">
      <c r="A71" s="87" t="s">
        <v>80</v>
      </c>
      <c r="B71" s="83"/>
      <c r="C71" s="83"/>
      <c r="D71" s="83"/>
      <c r="E71" s="83"/>
      <c r="F71" s="89"/>
      <c r="G71" s="95"/>
    </row>
    <row r="72" spans="1:7">
      <c r="A72" s="87" t="s">
        <v>94</v>
      </c>
      <c r="B72" s="83"/>
      <c r="C72" s="83"/>
      <c r="D72" s="83"/>
      <c r="E72" s="83"/>
      <c r="F72" s="89"/>
      <c r="G72" s="95"/>
    </row>
    <row r="73" spans="1:7">
      <c r="A73" s="87" t="s">
        <v>95</v>
      </c>
      <c r="B73" s="83"/>
      <c r="C73" s="83"/>
      <c r="D73" s="83"/>
      <c r="E73" s="83"/>
      <c r="F73" s="89"/>
      <c r="G73" s="95"/>
    </row>
    <row r="74" spans="1:7">
      <c r="A74" s="88"/>
      <c r="B74" s="82" t="s">
        <v>96</v>
      </c>
      <c r="C74" s="83"/>
      <c r="D74" s="83"/>
      <c r="E74" s="83"/>
      <c r="F74" s="89"/>
      <c r="G74" s="95"/>
    </row>
    <row r="75" spans="1:7">
      <c r="A75" s="88"/>
      <c r="B75" s="82" t="s">
        <v>97</v>
      </c>
      <c r="C75" s="83"/>
      <c r="D75" s="83"/>
      <c r="E75" s="83"/>
      <c r="F75" s="89"/>
      <c r="G75" s="95"/>
    </row>
    <row r="76" spans="1:7">
      <c r="A76" s="87" t="s">
        <v>98</v>
      </c>
      <c r="B76" s="83"/>
      <c r="C76" s="83"/>
      <c r="D76" s="83"/>
      <c r="E76" s="83"/>
      <c r="F76" s="89"/>
      <c r="G76" s="95"/>
    </row>
    <row r="77" spans="1:7">
      <c r="A77" s="88"/>
      <c r="B77" s="82" t="s">
        <v>99</v>
      </c>
      <c r="C77" s="83"/>
      <c r="D77" s="83"/>
      <c r="E77" s="83"/>
      <c r="F77" s="89"/>
      <c r="G77" s="95"/>
    </row>
    <row r="78" spans="1:7">
      <c r="A78" s="88"/>
      <c r="B78" s="82" t="s">
        <v>100</v>
      </c>
      <c r="C78" s="83"/>
      <c r="D78" s="83"/>
      <c r="E78" s="83"/>
      <c r="F78" s="89"/>
      <c r="G78" s="95"/>
    </row>
    <row r="79" spans="1:7">
      <c r="A79" s="87" t="s">
        <v>101</v>
      </c>
      <c r="B79" s="83"/>
      <c r="C79" s="83"/>
      <c r="D79" s="83"/>
      <c r="E79" s="83"/>
      <c r="F79" s="89"/>
      <c r="G79" s="95"/>
    </row>
    <row r="80" spans="1:7">
      <c r="A80" s="87" t="s">
        <v>102</v>
      </c>
      <c r="B80" s="83"/>
      <c r="C80" s="83"/>
      <c r="D80" s="83"/>
      <c r="E80" s="83"/>
      <c r="F80" s="89"/>
      <c r="G80" s="95"/>
    </row>
    <row r="81" spans="1:7">
      <c r="A81" s="87" t="s">
        <v>103</v>
      </c>
      <c r="B81" s="83"/>
      <c r="C81" s="83"/>
      <c r="D81" s="83"/>
      <c r="E81" s="83"/>
      <c r="F81" s="89"/>
      <c r="G81" s="95"/>
    </row>
    <row r="82" spans="1:7">
      <c r="A82" s="87" t="s">
        <v>104</v>
      </c>
      <c r="B82" s="83"/>
      <c r="C82" s="83"/>
      <c r="D82" s="83"/>
      <c r="E82" s="83"/>
      <c r="F82" s="89"/>
      <c r="G82" s="95"/>
    </row>
    <row r="83" spans="1:7">
      <c r="A83" s="87" t="s">
        <v>105</v>
      </c>
      <c r="B83" s="83"/>
      <c r="C83" s="83"/>
      <c r="D83" s="83"/>
      <c r="E83" s="83"/>
      <c r="F83" s="89"/>
      <c r="G83" s="95"/>
    </row>
    <row r="84" spans="1:7">
      <c r="A84" s="88"/>
      <c r="B84" s="82" t="s">
        <v>106</v>
      </c>
      <c r="C84" s="83"/>
      <c r="D84" s="83"/>
      <c r="E84" s="83"/>
      <c r="F84" s="89"/>
      <c r="G84" s="95"/>
    </row>
    <row r="85" spans="1:7">
      <c r="A85" s="87" t="s">
        <v>107</v>
      </c>
      <c r="B85" s="83"/>
      <c r="C85" s="83"/>
      <c r="D85" s="83"/>
      <c r="E85" s="83"/>
      <c r="F85" s="89"/>
      <c r="G85" s="95"/>
    </row>
    <row r="86" spans="1:7">
      <c r="A86" s="87" t="s">
        <v>108</v>
      </c>
      <c r="B86" s="83"/>
      <c r="C86" s="83"/>
      <c r="D86" s="83"/>
      <c r="E86" s="83"/>
      <c r="F86" s="89"/>
      <c r="G86" s="95"/>
    </row>
    <row r="87" spans="1:7">
      <c r="A87" s="87" t="s">
        <v>109</v>
      </c>
      <c r="B87" s="83"/>
      <c r="C87" s="83"/>
      <c r="D87" s="83"/>
      <c r="E87" s="83"/>
      <c r="F87" s="89"/>
      <c r="G87" s="95"/>
    </row>
    <row r="88" spans="1:7">
      <c r="A88" s="87" t="s">
        <v>110</v>
      </c>
      <c r="B88" s="83"/>
      <c r="C88" s="83"/>
      <c r="D88" s="83"/>
      <c r="E88" s="83"/>
      <c r="F88" s="89"/>
      <c r="G88" s="95"/>
    </row>
    <row r="89" spans="1:7">
      <c r="A89" s="88"/>
      <c r="B89" s="82" t="s">
        <v>111</v>
      </c>
      <c r="C89" s="83"/>
      <c r="D89" s="83"/>
      <c r="E89" s="83"/>
      <c r="F89" s="89"/>
      <c r="G89" s="95"/>
    </row>
    <row r="90" spans="1:7">
      <c r="A90" s="88"/>
      <c r="B90" s="82" t="s">
        <v>112</v>
      </c>
      <c r="C90" s="83"/>
      <c r="D90" s="83"/>
      <c r="E90" s="83"/>
      <c r="F90" s="89"/>
      <c r="G90" s="95"/>
    </row>
    <row r="91" spans="1:7">
      <c r="A91" s="88"/>
      <c r="B91" s="82" t="s">
        <v>113</v>
      </c>
      <c r="C91" s="83"/>
      <c r="D91" s="83"/>
      <c r="E91" s="83"/>
      <c r="F91" s="89"/>
      <c r="G91" s="95"/>
    </row>
    <row r="92" spans="1:7">
      <c r="A92" s="88"/>
      <c r="B92" s="82" t="s">
        <v>114</v>
      </c>
      <c r="C92" s="83"/>
      <c r="D92" s="83"/>
      <c r="E92" s="83"/>
      <c r="F92" s="89"/>
      <c r="G92" s="95"/>
    </row>
    <row r="93" spans="1:7">
      <c r="A93" s="88"/>
      <c r="B93" s="82" t="s">
        <v>115</v>
      </c>
      <c r="C93" s="83"/>
      <c r="D93" s="83"/>
      <c r="E93" s="83"/>
      <c r="F93" s="89"/>
      <c r="G93" s="95"/>
    </row>
    <row r="94" spans="1:7">
      <c r="A94" s="88"/>
      <c r="B94" s="82" t="s">
        <v>116</v>
      </c>
      <c r="C94" s="83"/>
      <c r="D94" s="83"/>
      <c r="E94" s="83"/>
      <c r="F94" s="89"/>
      <c r="G94" s="95"/>
    </row>
    <row r="95" spans="1:7">
      <c r="A95" s="88"/>
      <c r="B95" s="82" t="s">
        <v>117</v>
      </c>
      <c r="C95" s="83"/>
      <c r="D95" s="83"/>
      <c r="E95" s="83"/>
      <c r="F95" s="89"/>
      <c r="G95" s="95"/>
    </row>
    <row r="96" spans="1:7">
      <c r="A96" s="88"/>
      <c r="B96" s="82" t="s">
        <v>118</v>
      </c>
      <c r="C96" s="83"/>
      <c r="D96" s="83"/>
      <c r="E96" s="83"/>
      <c r="F96" s="89"/>
      <c r="G96" s="95"/>
    </row>
    <row r="97" spans="1:7">
      <c r="A97" s="88"/>
      <c r="B97" s="82" t="s">
        <v>119</v>
      </c>
      <c r="C97" s="83"/>
      <c r="D97" s="83"/>
      <c r="E97" s="83"/>
      <c r="F97" s="89"/>
      <c r="G97" s="95"/>
    </row>
    <row r="98" spans="1:7">
      <c r="A98" s="88"/>
      <c r="B98" s="82" t="s">
        <v>120</v>
      </c>
      <c r="C98" s="83"/>
      <c r="D98" s="83"/>
      <c r="E98" s="83"/>
      <c r="F98" s="89"/>
      <c r="G98" s="95"/>
    </row>
    <row r="99" spans="1:7">
      <c r="A99" s="87" t="s">
        <v>121</v>
      </c>
      <c r="B99" s="83"/>
      <c r="C99" s="83"/>
      <c r="D99" s="83"/>
      <c r="E99" s="83"/>
      <c r="F99" s="89"/>
      <c r="G99" s="95"/>
    </row>
    <row r="100" spans="1:7">
      <c r="A100" s="87" t="s">
        <v>122</v>
      </c>
      <c r="B100" s="83"/>
      <c r="C100" s="83"/>
      <c r="D100" s="83"/>
      <c r="E100" s="83"/>
      <c r="F100" s="89"/>
      <c r="G100" s="95"/>
    </row>
    <row r="101" spans="1:7">
      <c r="A101" s="88"/>
      <c r="B101" s="82" t="s">
        <v>123</v>
      </c>
      <c r="C101" s="83"/>
      <c r="D101" s="83"/>
      <c r="E101" s="83"/>
      <c r="F101" s="89"/>
      <c r="G101" s="95"/>
    </row>
    <row r="102" spans="1:7">
      <c r="A102" s="88"/>
      <c r="B102" s="82" t="s">
        <v>124</v>
      </c>
      <c r="C102" s="83"/>
      <c r="D102" s="83"/>
      <c r="E102" s="83"/>
      <c r="F102" s="89"/>
      <c r="G102" s="95"/>
    </row>
    <row r="103" spans="1:7">
      <c r="A103" s="87" t="s">
        <v>125</v>
      </c>
      <c r="B103" s="83"/>
      <c r="C103" s="83"/>
      <c r="D103" s="83"/>
      <c r="E103" s="83"/>
      <c r="F103" s="89"/>
      <c r="G103" s="95"/>
    </row>
    <row r="104" spans="1:7">
      <c r="A104" s="88"/>
      <c r="B104" s="82" t="s">
        <v>126</v>
      </c>
      <c r="C104" s="83"/>
      <c r="D104" s="83"/>
      <c r="E104" s="83"/>
      <c r="F104" s="89"/>
      <c r="G104" s="95"/>
    </row>
    <row r="105" spans="1:7">
      <c r="A105" s="88"/>
      <c r="B105" s="82" t="s">
        <v>127</v>
      </c>
      <c r="C105" s="83"/>
      <c r="D105" s="83"/>
      <c r="E105" s="83"/>
      <c r="F105" s="89"/>
      <c r="G105" s="95"/>
    </row>
    <row r="106" spans="1:7">
      <c r="A106" s="88"/>
      <c r="B106" s="82" t="s">
        <v>128</v>
      </c>
      <c r="C106" s="83"/>
      <c r="D106" s="83"/>
      <c r="E106" s="83"/>
      <c r="F106" s="89"/>
      <c r="G106" s="95"/>
    </row>
    <row r="107" spans="1:7">
      <c r="A107" s="88"/>
      <c r="B107" s="82" t="s">
        <v>129</v>
      </c>
      <c r="C107" s="83"/>
      <c r="D107" s="83"/>
      <c r="E107" s="83"/>
      <c r="F107" s="89"/>
      <c r="G107" s="95"/>
    </row>
    <row r="108" spans="1:7">
      <c r="A108" s="87" t="s">
        <v>130</v>
      </c>
      <c r="B108" s="83"/>
      <c r="C108" s="83"/>
      <c r="D108" s="83"/>
      <c r="E108" s="83"/>
      <c r="F108" s="89"/>
      <c r="G108" s="95"/>
    </row>
    <row r="109" spans="1:7">
      <c r="A109" s="88"/>
      <c r="B109" s="82" t="s">
        <v>131</v>
      </c>
      <c r="C109" s="83"/>
      <c r="D109" s="83"/>
      <c r="E109" s="83"/>
      <c r="F109" s="89"/>
      <c r="G109" s="95"/>
    </row>
    <row r="110" spans="1:7">
      <c r="A110" s="88"/>
      <c r="B110" s="82" t="s">
        <v>132</v>
      </c>
      <c r="C110" s="83"/>
      <c r="D110" s="83"/>
      <c r="E110" s="83"/>
      <c r="F110" s="89"/>
      <c r="G110" s="95"/>
    </row>
    <row r="111" spans="1:7">
      <c r="A111" s="87" t="s">
        <v>133</v>
      </c>
      <c r="B111" s="83"/>
      <c r="C111" s="83"/>
      <c r="D111" s="83"/>
      <c r="E111" s="83"/>
      <c r="F111" s="89"/>
      <c r="G111" s="95"/>
    </row>
    <row r="112" spans="1:7">
      <c r="A112" s="87" t="s">
        <v>103</v>
      </c>
      <c r="B112" s="83"/>
      <c r="C112" s="83"/>
      <c r="D112" s="83"/>
      <c r="E112" s="83"/>
      <c r="F112" s="89"/>
      <c r="G112" s="95"/>
    </row>
    <row r="113" spans="1:7">
      <c r="A113" s="87" t="s">
        <v>134</v>
      </c>
      <c r="B113" s="83"/>
      <c r="C113" s="83"/>
      <c r="D113" s="83"/>
      <c r="E113" s="83"/>
      <c r="F113" s="89"/>
      <c r="G113" s="95"/>
    </row>
    <row r="114" spans="1:7">
      <c r="A114" s="87" t="s">
        <v>135</v>
      </c>
      <c r="B114" s="83"/>
      <c r="C114" s="83"/>
      <c r="D114" s="83"/>
      <c r="E114" s="83"/>
      <c r="F114" s="89"/>
      <c r="G114" s="95"/>
    </row>
    <row r="115" spans="1:7">
      <c r="A115" s="87" t="s">
        <v>136</v>
      </c>
      <c r="B115" s="83"/>
      <c r="C115" s="83"/>
      <c r="D115" s="83"/>
      <c r="E115" s="83"/>
      <c r="F115" s="89"/>
      <c r="G115" s="95"/>
    </row>
    <row r="116" spans="1:7">
      <c r="A116" s="87" t="s">
        <v>137</v>
      </c>
      <c r="B116" s="83"/>
      <c r="C116" s="83"/>
      <c r="D116" s="83"/>
      <c r="E116" s="83"/>
      <c r="F116" s="89"/>
      <c r="G116" s="95"/>
    </row>
    <row r="117" spans="1:7">
      <c r="A117" s="87" t="s">
        <v>138</v>
      </c>
      <c r="B117" s="83"/>
      <c r="C117" s="83"/>
      <c r="D117" s="83"/>
      <c r="E117" s="83"/>
      <c r="F117" s="89"/>
      <c r="G117" s="95"/>
    </row>
    <row r="118" spans="1:7">
      <c r="A118" s="87" t="s">
        <v>139</v>
      </c>
      <c r="B118" s="83"/>
      <c r="C118" s="83"/>
      <c r="D118" s="83"/>
      <c r="E118" s="83"/>
      <c r="F118" s="89"/>
      <c r="G118" s="95"/>
    </row>
    <row r="119" spans="1:7">
      <c r="A119" s="87" t="s">
        <v>140</v>
      </c>
      <c r="B119" s="83"/>
      <c r="C119" s="83"/>
      <c r="D119" s="83"/>
      <c r="E119" s="83"/>
      <c r="F119" s="89"/>
      <c r="G119" s="95"/>
    </row>
    <row r="120" spans="1:7">
      <c r="A120" s="87" t="s">
        <v>141</v>
      </c>
      <c r="B120" s="83"/>
      <c r="C120" s="83"/>
      <c r="D120" s="83"/>
      <c r="E120" s="83"/>
      <c r="F120" s="89"/>
      <c r="G120" s="95"/>
    </row>
    <row r="121" spans="1:7">
      <c r="A121" s="87" t="s">
        <v>142</v>
      </c>
      <c r="B121" s="83"/>
      <c r="C121" s="83"/>
      <c r="D121" s="83"/>
      <c r="E121" s="83"/>
      <c r="F121" s="89"/>
      <c r="G121" s="95"/>
    </row>
    <row r="122" spans="1:7">
      <c r="A122" s="87" t="s">
        <v>143</v>
      </c>
      <c r="B122" s="83"/>
      <c r="C122" s="83"/>
      <c r="D122" s="83"/>
      <c r="E122" s="83"/>
      <c r="F122" s="89"/>
      <c r="G122" s="95"/>
    </row>
    <row r="123" spans="1:7">
      <c r="A123" s="87" t="s">
        <v>144</v>
      </c>
      <c r="B123" s="83"/>
      <c r="C123" s="83"/>
      <c r="D123" s="83"/>
      <c r="E123" s="83"/>
      <c r="F123" s="89"/>
      <c r="G123" s="95"/>
    </row>
    <row r="124" spans="1:7">
      <c r="A124" s="87" t="s">
        <v>145</v>
      </c>
      <c r="B124" s="83"/>
      <c r="C124" s="83"/>
      <c r="D124" s="83"/>
      <c r="E124" s="83"/>
      <c r="F124" s="89"/>
      <c r="G124" s="95"/>
    </row>
    <row r="125" spans="1:7">
      <c r="A125" s="87" t="s">
        <v>146</v>
      </c>
      <c r="B125" s="83"/>
      <c r="C125" s="83"/>
      <c r="D125" s="83"/>
      <c r="E125" s="83"/>
      <c r="F125" s="89"/>
      <c r="G125" s="95"/>
    </row>
    <row r="126" spans="1:7">
      <c r="A126" s="87" t="s">
        <v>147</v>
      </c>
      <c r="B126" s="83"/>
      <c r="C126" s="83"/>
      <c r="D126" s="83"/>
      <c r="E126" s="83"/>
      <c r="F126" s="89"/>
      <c r="G126" s="95"/>
    </row>
    <row r="127" spans="1:7">
      <c r="A127" s="87" t="s">
        <v>148</v>
      </c>
      <c r="B127" s="83"/>
      <c r="C127" s="83"/>
      <c r="D127" s="83"/>
      <c r="E127" s="83"/>
      <c r="F127" s="89"/>
      <c r="G127" s="95"/>
    </row>
    <row r="128" spans="1:7">
      <c r="A128" s="87" t="s">
        <v>149</v>
      </c>
      <c r="B128" s="83"/>
      <c r="C128" s="83"/>
      <c r="D128" s="83"/>
      <c r="E128" s="83"/>
      <c r="F128" s="89"/>
      <c r="G128" s="95"/>
    </row>
    <row r="129" spans="1:7">
      <c r="A129" s="88"/>
      <c r="B129" s="82" t="s">
        <v>150</v>
      </c>
      <c r="C129" s="83"/>
      <c r="D129" s="83"/>
      <c r="E129" s="83"/>
      <c r="F129" s="89"/>
      <c r="G129" s="95"/>
    </row>
    <row r="130" spans="1:7">
      <c r="A130" s="88"/>
      <c r="B130" s="82" t="s">
        <v>151</v>
      </c>
      <c r="C130" s="83"/>
      <c r="D130" s="83"/>
      <c r="E130" s="83"/>
      <c r="F130" s="89"/>
      <c r="G130" s="95"/>
    </row>
    <row r="131" spans="1:7">
      <c r="A131" s="88"/>
      <c r="B131" s="82" t="s">
        <v>152</v>
      </c>
      <c r="C131" s="83"/>
      <c r="D131" s="83"/>
      <c r="E131" s="83"/>
      <c r="F131" s="89"/>
      <c r="G131" s="95"/>
    </row>
    <row r="132" spans="1:7">
      <c r="A132" s="87" t="s">
        <v>153</v>
      </c>
      <c r="B132" s="83"/>
      <c r="C132" s="83"/>
      <c r="D132" s="83"/>
      <c r="E132" s="83"/>
      <c r="F132" s="89"/>
      <c r="G132" s="95"/>
    </row>
    <row r="133" spans="1:7">
      <c r="A133" s="87" t="s">
        <v>154</v>
      </c>
      <c r="B133" s="83"/>
      <c r="C133" s="83"/>
      <c r="D133" s="83"/>
      <c r="E133" s="83"/>
      <c r="F133" s="89"/>
      <c r="G133" s="95"/>
    </row>
    <row r="134" spans="1:7">
      <c r="A134" s="87" t="s">
        <v>155</v>
      </c>
      <c r="B134" s="83"/>
      <c r="C134" s="83"/>
      <c r="D134" s="83"/>
      <c r="E134" s="83"/>
      <c r="F134" s="89"/>
      <c r="G134" s="95"/>
    </row>
    <row r="135" spans="1:7">
      <c r="A135" s="87" t="s">
        <v>156</v>
      </c>
      <c r="B135" s="83"/>
      <c r="C135" s="83"/>
      <c r="D135" s="83"/>
      <c r="E135" s="83"/>
      <c r="F135" s="89"/>
      <c r="G135" s="95"/>
    </row>
    <row r="136" spans="1:7">
      <c r="A136" s="87" t="s">
        <v>157</v>
      </c>
      <c r="B136" s="83"/>
      <c r="C136" s="83"/>
      <c r="D136" s="83"/>
      <c r="E136" s="83"/>
      <c r="F136" s="89"/>
      <c r="G136" s="95"/>
    </row>
    <row r="137" spans="1:7" ht="15.75" thickBot="1">
      <c r="A137" s="90" t="s">
        <v>158</v>
      </c>
      <c r="B137" s="91"/>
      <c r="C137" s="91"/>
      <c r="D137" s="91"/>
      <c r="E137" s="91"/>
      <c r="F137" s="92"/>
      <c r="G137" s="35"/>
    </row>
  </sheetData>
  <mergeCells count="10">
    <mergeCell ref="E7:H9"/>
    <mergeCell ref="E11:H11"/>
    <mergeCell ref="E13:H13"/>
    <mergeCell ref="I15:L15"/>
    <mergeCell ref="E5:H5"/>
    <mergeCell ref="A19:C19"/>
    <mergeCell ref="A23:C23"/>
    <mergeCell ref="A2:A3"/>
    <mergeCell ref="A5:C5"/>
    <mergeCell ref="A13:C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6622-1F0D-4754-9BCA-24802D860A68}">
  <dimension ref="A1:E19"/>
  <sheetViews>
    <sheetView workbookViewId="0">
      <selection activeCell="I12" sqref="I12"/>
    </sheetView>
  </sheetViews>
  <sheetFormatPr defaultRowHeight="15"/>
  <cols>
    <col min="1" max="1" width="56.7109375" customWidth="1"/>
    <col min="2" max="2" width="13.140625" customWidth="1"/>
  </cols>
  <sheetData>
    <row r="1" spans="1:5" ht="56.25" customHeight="1" thickBot="1">
      <c r="A1" s="43" t="s">
        <v>44</v>
      </c>
      <c r="B1" s="46" t="s">
        <v>45</v>
      </c>
      <c r="C1" s="45"/>
      <c r="D1" s="45"/>
      <c r="E1" s="47"/>
    </row>
    <row r="2" spans="1:5" ht="19.5" thickBot="1">
      <c r="A2" s="44"/>
      <c r="B2" s="1" t="s">
        <v>46</v>
      </c>
      <c r="C2" s="1" t="s">
        <v>47</v>
      </c>
      <c r="D2" s="1" t="s">
        <v>48</v>
      </c>
      <c r="E2" s="1" t="s">
        <v>49</v>
      </c>
    </row>
    <row r="3" spans="1:5" ht="18.75">
      <c r="A3" s="37" t="s">
        <v>50</v>
      </c>
      <c r="B3" s="34">
        <v>5</v>
      </c>
      <c r="C3" s="34">
        <v>4</v>
      </c>
      <c r="D3" s="34" t="s">
        <v>31</v>
      </c>
      <c r="E3" s="34" t="s">
        <v>31</v>
      </c>
    </row>
    <row r="4" spans="1:5" ht="38.25" thickBot="1">
      <c r="A4" s="5" t="s">
        <v>51</v>
      </c>
      <c r="B4" s="29"/>
      <c r="C4" s="29"/>
      <c r="D4" s="29"/>
      <c r="E4" s="29"/>
    </row>
    <row r="5" spans="1:5" ht="38.25" thickBot="1">
      <c r="A5" s="5" t="s">
        <v>52</v>
      </c>
      <c r="B5" s="49" t="s">
        <v>31</v>
      </c>
      <c r="C5" s="1" t="s">
        <v>31</v>
      </c>
      <c r="D5" s="1">
        <v>3</v>
      </c>
      <c r="E5" s="1">
        <v>2</v>
      </c>
    </row>
    <row r="6" spans="1:5" ht="38.25" thickBot="1">
      <c r="A6" s="5" t="s">
        <v>53</v>
      </c>
      <c r="B6" s="1">
        <v>2</v>
      </c>
      <c r="C6" s="1">
        <v>2</v>
      </c>
      <c r="D6" s="1">
        <v>2</v>
      </c>
      <c r="E6" s="1">
        <v>2</v>
      </c>
    </row>
    <row r="7" spans="1:5" ht="19.5" thickBot="1">
      <c r="A7" s="5" t="s">
        <v>54</v>
      </c>
      <c r="B7" s="1">
        <v>15</v>
      </c>
      <c r="C7" s="1">
        <v>12</v>
      </c>
      <c r="D7" s="1">
        <v>8</v>
      </c>
      <c r="E7" s="1">
        <v>5</v>
      </c>
    </row>
    <row r="8" spans="1:5" ht="19.5" thickBot="1">
      <c r="A8" s="5" t="s">
        <v>55</v>
      </c>
      <c r="B8" s="1">
        <v>1</v>
      </c>
      <c r="C8" s="1">
        <v>1</v>
      </c>
      <c r="D8" s="1">
        <v>1</v>
      </c>
      <c r="E8" s="1">
        <v>1</v>
      </c>
    </row>
    <row r="9" spans="1:5" ht="38.25" thickBot="1">
      <c r="A9" s="5" t="s">
        <v>56</v>
      </c>
      <c r="B9" s="1">
        <v>2</v>
      </c>
      <c r="C9" s="1">
        <v>2</v>
      </c>
      <c r="D9" s="1">
        <v>2</v>
      </c>
      <c r="E9" s="1">
        <v>2</v>
      </c>
    </row>
    <row r="10" spans="1:5" ht="19.5" thickBot="1">
      <c r="A10" s="5" t="s">
        <v>57</v>
      </c>
      <c r="B10" s="1">
        <v>1</v>
      </c>
      <c r="C10" s="1">
        <v>1</v>
      </c>
      <c r="D10" s="1">
        <v>1</v>
      </c>
      <c r="E10" s="1">
        <v>1</v>
      </c>
    </row>
    <row r="11" spans="1:5" ht="19.5" thickBot="1">
      <c r="A11" s="5" t="s">
        <v>58</v>
      </c>
      <c r="B11" s="1">
        <v>1</v>
      </c>
      <c r="C11" s="1">
        <v>1</v>
      </c>
      <c r="D11" s="1">
        <v>1</v>
      </c>
      <c r="E11" s="1">
        <v>1</v>
      </c>
    </row>
    <row r="12" spans="1:5" ht="38.25" thickBot="1">
      <c r="A12" s="5" t="s">
        <v>59</v>
      </c>
      <c r="B12" s="1">
        <v>2</v>
      </c>
      <c r="C12" s="1">
        <v>2</v>
      </c>
      <c r="D12" s="1">
        <v>2</v>
      </c>
      <c r="E12" s="1">
        <v>2</v>
      </c>
    </row>
    <row r="13" spans="1:5" ht="19.5" thickBot="1">
      <c r="A13" s="48"/>
    </row>
    <row r="14" spans="1:5" ht="87" customHeight="1" thickBot="1">
      <c r="A14" s="34" t="s">
        <v>33</v>
      </c>
      <c r="B14" s="31" t="s">
        <v>34</v>
      </c>
    </row>
    <row r="15" spans="1:5" ht="18.75" customHeight="1" thickBot="1">
      <c r="A15" s="29"/>
      <c r="B15" s="1">
        <v>7</v>
      </c>
    </row>
    <row r="16" spans="1:5" ht="19.5" thickBot="1">
      <c r="A16" s="5" t="s">
        <v>35</v>
      </c>
      <c r="B16" s="1">
        <v>29</v>
      </c>
    </row>
    <row r="17" spans="1:2" ht="38.25" thickBot="1">
      <c r="A17" s="5" t="s">
        <v>36</v>
      </c>
      <c r="B17" s="1">
        <v>5600</v>
      </c>
    </row>
    <row r="18" spans="1:2" ht="38.25" thickBot="1">
      <c r="A18" s="5" t="s">
        <v>37</v>
      </c>
      <c r="B18" s="1">
        <v>850</v>
      </c>
    </row>
    <row r="19" spans="1:2" ht="40.5" customHeight="1" thickBot="1">
      <c r="A19" s="5" t="s">
        <v>38</v>
      </c>
      <c r="B19" s="1">
        <v>1275</v>
      </c>
    </row>
  </sheetData>
  <mergeCells count="7">
    <mergeCell ref="A14:A15"/>
    <mergeCell ref="A1:A2"/>
    <mergeCell ref="B1:E1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2015-06-05T18:17:20Z</dcterms:created>
  <dcterms:modified xsi:type="dcterms:W3CDTF">2025-05-10T10:14:27Z</dcterms:modified>
</cp:coreProperties>
</file>