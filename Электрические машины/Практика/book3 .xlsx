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Course3\Электрические машины\Практика\"/>
    </mc:Choice>
  </mc:AlternateContent>
  <xr:revisionPtr revIDLastSave="0" documentId="8_{9E223273-52C3-4108-BF10-2AACF4747AE1}" xr6:coauthVersionLast="47" xr6:coauthVersionMax="47" xr10:uidLastSave="{00000000-0000-0000-0000-000000000000}"/>
  <bookViews>
    <workbookView xWindow="-120" yWindow="-120" windowWidth="29040" windowHeight="16440" xr2:uid="{9E41FFB8-5E7A-4175-B412-62DCB7621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  <c r="S12" i="1"/>
  <c r="Q12" i="1"/>
  <c r="T9" i="1"/>
  <c r="P6" i="1"/>
  <c r="L31" i="1"/>
  <c r="M23" i="1"/>
  <c r="M27" i="1"/>
  <c r="M18" i="1"/>
  <c r="L14" i="1"/>
  <c r="M10" i="1"/>
  <c r="M6" i="1"/>
  <c r="B10" i="1"/>
  <c r="B9" i="1"/>
  <c r="H33" i="1"/>
  <c r="H30" i="1"/>
  <c r="H26" i="1"/>
  <c r="H24" i="1"/>
  <c r="H21" i="1"/>
  <c r="H18" i="1"/>
  <c r="H14" i="1"/>
  <c r="C8" i="1"/>
  <c r="H10" i="1"/>
  <c r="H6" i="1"/>
  <c r="B2" i="1"/>
  <c r="B1" i="1"/>
</calcChain>
</file>

<file path=xl/sharedStrings.xml><?xml version="1.0" encoding="utf-8"?>
<sst xmlns="http://schemas.openxmlformats.org/spreadsheetml/2006/main" count="88" uniqueCount="74">
  <si>
    <t>Iн</t>
  </si>
  <si>
    <t>А</t>
  </si>
  <si>
    <t>nн</t>
  </si>
  <si>
    <t>об/мин</t>
  </si>
  <si>
    <t>Uн</t>
  </si>
  <si>
    <t>В</t>
  </si>
  <si>
    <t>Мн</t>
  </si>
  <si>
    <t>Н*м</t>
  </si>
  <si>
    <t>rя</t>
  </si>
  <si>
    <t>Ом</t>
  </si>
  <si>
    <t>rв</t>
  </si>
  <si>
    <t>Вариант77</t>
  </si>
  <si>
    <t>Pн=</t>
  </si>
  <si>
    <t>Мн*nн</t>
  </si>
  <si>
    <t>n=</t>
  </si>
  <si>
    <t>Pн</t>
  </si>
  <si>
    <t>Iн*Uн</t>
  </si>
  <si>
    <t>Iв.н.=</t>
  </si>
  <si>
    <t>Mс=</t>
  </si>
  <si>
    <t>0.7*Мн=</t>
  </si>
  <si>
    <t>Iя.н.=</t>
  </si>
  <si>
    <t>Iн-Iв.н.=</t>
  </si>
  <si>
    <t>Iя.х.=</t>
  </si>
  <si>
    <t>I2н*rя</t>
  </si>
  <si>
    <t>rв=</t>
  </si>
  <si>
    <t>rв+4,4=</t>
  </si>
  <si>
    <t>Iв=</t>
  </si>
  <si>
    <t>Iв</t>
  </si>
  <si>
    <t>Iв.н.</t>
  </si>
  <si>
    <t>3.5/3</t>
  </si>
  <si>
    <t>3.5/2</t>
  </si>
  <si>
    <t>3.5/4</t>
  </si>
  <si>
    <t>3.5/1</t>
  </si>
  <si>
    <t>3.5/5</t>
  </si>
  <si>
    <t>Ф</t>
  </si>
  <si>
    <t>Фн</t>
  </si>
  <si>
    <t>Ф/Фн=</t>
  </si>
  <si>
    <t>Фн/Ф=</t>
  </si>
  <si>
    <r>
      <rPr>
        <sz val="14"/>
        <color theme="1"/>
        <rFont val="Aptos Narrow"/>
        <family val="2"/>
        <scheme val="minor"/>
      </rPr>
      <t>n</t>
    </r>
    <r>
      <rPr>
        <sz val="9"/>
        <color theme="1"/>
        <rFont val="Aptos Narrow"/>
        <family val="2"/>
        <scheme val="minor"/>
      </rPr>
      <t>хх</t>
    </r>
    <r>
      <rPr>
        <sz val="11"/>
        <color theme="1"/>
        <rFont val="Aptos Narrow"/>
        <family val="2"/>
        <scheme val="minor"/>
      </rPr>
      <t>=</t>
    </r>
  </si>
  <si>
    <r>
      <t>n</t>
    </r>
    <r>
      <rPr>
        <sz val="9"/>
        <color theme="1"/>
        <rFont val="Aptos Narrow"/>
        <family val="2"/>
        <scheme val="minor"/>
      </rPr>
      <t>н</t>
    </r>
    <r>
      <rPr>
        <sz val="11"/>
        <color theme="1"/>
        <rFont val="Aptos Narrow"/>
        <family val="2"/>
        <scheme val="minor"/>
      </rPr>
      <t>*</t>
    </r>
  </si>
  <si>
    <t>Uн-rя*Iя.х.</t>
  </si>
  <si>
    <t>Uн-rя*Iя.н.</t>
  </si>
  <si>
    <t>Iя.х.*</t>
  </si>
  <si>
    <t>I'я.х.=</t>
  </si>
  <si>
    <t>0.7*Mн=</t>
  </si>
  <si>
    <t>3.8/2</t>
  </si>
  <si>
    <t>3.8/1</t>
  </si>
  <si>
    <t>I'я=</t>
  </si>
  <si>
    <t>Iя.н*</t>
  </si>
  <si>
    <r>
      <t>Фн</t>
    </r>
    <r>
      <rPr>
        <sz val="11"/>
        <color theme="1"/>
        <rFont val="Aptos Narrow"/>
        <family val="2"/>
        <scheme val="minor"/>
      </rPr>
      <t xml:space="preserve">   </t>
    </r>
    <r>
      <rPr>
        <u/>
        <sz val="11"/>
        <color theme="1"/>
        <rFont val="Aptos Narrow"/>
        <family val="2"/>
        <scheme val="minor"/>
      </rPr>
      <t>Мс</t>
    </r>
  </si>
  <si>
    <t>Ф  * Мн</t>
  </si>
  <si>
    <r>
      <t>n</t>
    </r>
    <r>
      <rPr>
        <vertAlign val="subscript"/>
        <sz val="12"/>
        <color theme="1"/>
        <rFont val="Aptos Narrow"/>
        <family val="2"/>
        <scheme val="minor"/>
      </rPr>
      <t>я.я</t>
    </r>
    <r>
      <rPr>
        <sz val="12"/>
        <color theme="1"/>
        <rFont val="Aptos Narrow"/>
        <family val="2"/>
        <scheme val="minor"/>
      </rPr>
      <t>=n</t>
    </r>
    <r>
      <rPr>
        <vertAlign val="subscript"/>
        <sz val="12"/>
        <color theme="1"/>
        <rFont val="Aptos Narrow"/>
        <family val="2"/>
        <scheme val="minor"/>
      </rPr>
      <t>н</t>
    </r>
  </si>
  <si>
    <r>
      <t>Uн-r</t>
    </r>
    <r>
      <rPr>
        <vertAlign val="subscript"/>
        <sz val="11"/>
        <color theme="1"/>
        <rFont val="Aptos Narrow"/>
        <family val="2"/>
        <scheme val="minor"/>
      </rPr>
      <t>я</t>
    </r>
    <r>
      <rPr>
        <sz val="11"/>
        <color theme="1"/>
        <rFont val="Aptos Narrow"/>
        <family val="2"/>
        <scheme val="minor"/>
      </rPr>
      <t>*I'я.х.</t>
    </r>
  </si>
  <si>
    <t>Uн-rя*Iя.х.*</t>
  </si>
  <si>
    <t xml:space="preserve">   Ф</t>
  </si>
  <si>
    <r>
      <t>n'=n</t>
    </r>
    <r>
      <rPr>
        <vertAlign val="subscript"/>
        <sz val="11"/>
        <color theme="1"/>
        <rFont val="Aptos Narrow"/>
        <family val="2"/>
        <scheme val="minor"/>
      </rPr>
      <t>н</t>
    </r>
    <r>
      <rPr>
        <sz val="11"/>
        <color theme="1"/>
        <rFont val="Aptos Narrow"/>
        <family val="2"/>
        <scheme val="minor"/>
      </rPr>
      <t>*</t>
    </r>
  </si>
  <si>
    <r>
      <t>Uн-r</t>
    </r>
    <r>
      <rPr>
        <vertAlign val="subscript"/>
        <sz val="11"/>
        <color theme="1"/>
        <rFont val="Aptos Narrow"/>
        <family val="2"/>
        <scheme val="minor"/>
      </rPr>
      <t>я</t>
    </r>
    <r>
      <rPr>
        <sz val="11"/>
        <color theme="1"/>
        <rFont val="Aptos Narrow"/>
        <family val="2"/>
        <scheme val="minor"/>
      </rPr>
      <t>*I'я.</t>
    </r>
  </si>
  <si>
    <t>Uн-rя*Iя.н.*</t>
  </si>
  <si>
    <t>P=</t>
  </si>
  <si>
    <t>Mc*n'</t>
  </si>
  <si>
    <t>∑P=</t>
  </si>
  <si>
    <t>I'я.н.*rя.+</t>
  </si>
  <si>
    <t>I2я.н.*(rв+</t>
  </si>
  <si>
    <t>rд)+I2я.н.</t>
  </si>
  <si>
    <t>*rя =</t>
  </si>
  <si>
    <t>3.12/2</t>
  </si>
  <si>
    <t>3.12/1</t>
  </si>
  <si>
    <t>rд=10*rя=</t>
  </si>
  <si>
    <t>3.12/3</t>
  </si>
  <si>
    <r>
      <t>Pн*</t>
    </r>
    <r>
      <rPr>
        <sz val="11"/>
        <color theme="1"/>
        <rFont val="Aptos Narrow"/>
        <family val="2"/>
      </rPr>
      <t>∑P</t>
    </r>
  </si>
  <si>
    <t>*100=</t>
  </si>
  <si>
    <t>3.12/4</t>
  </si>
  <si>
    <t>Mн=</t>
  </si>
  <si>
    <t>0.8*Mн=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</si>
</sst>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E+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Border="1"/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9" fillId="0" borderId="5" xfId="0" applyFont="1" applyBorder="1" applyAlignment="1">
      <alignment horizontal="right" vertical="center"/>
    </xf>
    <xf numFmtId="0" fontId="0" fillId="0" borderId="10" xfId="0" applyBorder="1" applyAlignment="1">
      <alignment horizontal="left" vertical="center"/>
    </xf>
    <xf numFmtId="2" fontId="0" fillId="0" borderId="10" xfId="0" applyNumberFormat="1" applyBorder="1" applyAlignment="1">
      <alignment horizontal="left" vertical="center"/>
    </xf>
    <xf numFmtId="168" fontId="0" fillId="0" borderId="0" xfId="0" applyNumberFormat="1" applyAlignment="1">
      <alignment horizontal="right" vertical="center"/>
    </xf>
    <xf numFmtId="11" fontId="0" fillId="0" borderId="0" xfId="0" applyNumberFormat="1" applyAlignment="1">
      <alignment horizontal="left" vertical="center"/>
    </xf>
    <xf numFmtId="9" fontId="0" fillId="0" borderId="0" xfId="1" applyFont="1" applyAlignment="1">
      <alignment horizontal="center" vertical="center"/>
    </xf>
    <xf numFmtId="0" fontId="0" fillId="0" borderId="10" xfId="0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A426-FF0B-43DA-8E9D-1B1B0DB03834}">
  <dimension ref="A1:U34"/>
  <sheetViews>
    <sheetView tabSelected="1" workbookViewId="0">
      <selection activeCell="Q20" sqref="Q20"/>
    </sheetView>
  </sheetViews>
  <sheetFormatPr defaultRowHeight="15" x14ac:dyDescent="0.25"/>
  <cols>
    <col min="11" max="11" width="10.85546875" bestFit="1" customWidth="1"/>
    <col min="12" max="12" width="10.7109375" bestFit="1" customWidth="1"/>
    <col min="17" max="17" width="13.42578125" bestFit="1" customWidth="1"/>
    <col min="18" max="18" width="8.85546875" customWidth="1"/>
    <col min="19" max="19" width="5.140625" bestFit="1" customWidth="1"/>
  </cols>
  <sheetData>
    <row r="1" spans="1:21" x14ac:dyDescent="0.25">
      <c r="A1" s="7" t="s">
        <v>0</v>
      </c>
      <c r="B1" s="8">
        <f>346</f>
        <v>346</v>
      </c>
      <c r="C1" s="9" t="s">
        <v>1</v>
      </c>
    </row>
    <row r="2" spans="1:21" x14ac:dyDescent="0.25">
      <c r="A2" s="10" t="s">
        <v>2</v>
      </c>
      <c r="B2" s="11">
        <f>1000</f>
        <v>1000</v>
      </c>
      <c r="C2" s="12" t="s">
        <v>3</v>
      </c>
    </row>
    <row r="3" spans="1:21" x14ac:dyDescent="0.25">
      <c r="A3" s="10" t="s">
        <v>4</v>
      </c>
      <c r="B3" s="11">
        <v>110</v>
      </c>
      <c r="C3" s="12" t="s">
        <v>5</v>
      </c>
    </row>
    <row r="4" spans="1:21" x14ac:dyDescent="0.25">
      <c r="A4" s="10" t="s">
        <v>6</v>
      </c>
      <c r="B4" s="11">
        <v>305.60000000000002</v>
      </c>
      <c r="C4" s="12" t="s">
        <v>7</v>
      </c>
    </row>
    <row r="5" spans="1:21" ht="15.75" thickBot="1" x14ac:dyDescent="0.3">
      <c r="A5" s="10" t="s">
        <v>8</v>
      </c>
      <c r="B5" s="11">
        <v>1.6400000000000001E-2</v>
      </c>
      <c r="C5" s="12" t="s">
        <v>9</v>
      </c>
      <c r="F5" s="27">
        <v>3.1</v>
      </c>
      <c r="G5" s="11"/>
      <c r="H5" s="11"/>
      <c r="I5" s="11"/>
      <c r="J5" s="27">
        <v>3.6</v>
      </c>
      <c r="K5" s="11"/>
      <c r="L5" s="11"/>
      <c r="M5" s="11"/>
      <c r="O5" s="27" t="s">
        <v>66</v>
      </c>
    </row>
    <row r="6" spans="1:21" ht="15.75" thickBot="1" x14ac:dyDescent="0.3">
      <c r="A6" s="13" t="s">
        <v>10</v>
      </c>
      <c r="B6" s="14">
        <v>11</v>
      </c>
      <c r="C6" s="15" t="s">
        <v>9</v>
      </c>
      <c r="F6" s="19" t="s">
        <v>12</v>
      </c>
      <c r="G6" s="17" t="s">
        <v>13</v>
      </c>
      <c r="H6" s="20">
        <f>(B4*B2)/9.55</f>
        <v>31999.999999999996</v>
      </c>
      <c r="J6" s="30" t="s">
        <v>38</v>
      </c>
      <c r="K6" s="32" t="s">
        <v>39</v>
      </c>
      <c r="L6" s="14" t="s">
        <v>40</v>
      </c>
      <c r="M6" s="20">
        <f>B2*((B3-B5*H21)/(B3-B5*H18))</f>
        <v>883.52771931879681</v>
      </c>
      <c r="O6" t="s">
        <v>67</v>
      </c>
      <c r="P6" s="25">
        <f>10*B5</f>
        <v>0.16400000000000001</v>
      </c>
    </row>
    <row r="7" spans="1:21" ht="15.75" thickBot="1" x14ac:dyDescent="0.3">
      <c r="A7" s="4" t="s">
        <v>11</v>
      </c>
      <c r="B7" s="5"/>
      <c r="C7" s="6"/>
      <c r="F7" s="19"/>
      <c r="G7" s="2">
        <v>9.5500000000000007</v>
      </c>
      <c r="H7" s="20"/>
      <c r="J7" s="19"/>
      <c r="K7" s="32"/>
      <c r="L7" t="s">
        <v>41</v>
      </c>
      <c r="M7" s="20"/>
      <c r="O7" s="34"/>
    </row>
    <row r="8" spans="1:21" ht="15.75" thickBot="1" x14ac:dyDescent="0.3">
      <c r="A8" s="22" t="s">
        <v>18</v>
      </c>
      <c r="B8" s="1" t="s">
        <v>19</v>
      </c>
      <c r="C8">
        <f>0.7*B4</f>
        <v>213.92000000000002</v>
      </c>
      <c r="O8" s="27" t="s">
        <v>65</v>
      </c>
    </row>
    <row r="9" spans="1:21" ht="15.75" thickBot="1" x14ac:dyDescent="0.3">
      <c r="A9" s="21" t="s">
        <v>37</v>
      </c>
      <c r="B9">
        <f>1/0.93</f>
        <v>1.075268817204301</v>
      </c>
      <c r="F9" s="27">
        <v>3.2</v>
      </c>
      <c r="G9" s="11"/>
      <c r="H9" s="11"/>
      <c r="I9" s="29"/>
      <c r="J9" s="27">
        <v>3.7</v>
      </c>
      <c r="K9" s="11"/>
      <c r="L9" s="11"/>
      <c r="M9" s="11"/>
      <c r="O9" s="43" t="s">
        <v>60</v>
      </c>
      <c r="P9" s="1" t="s">
        <v>61</v>
      </c>
      <c r="Q9" s="18" t="s">
        <v>62</v>
      </c>
      <c r="R9" s="25" t="s">
        <v>63</v>
      </c>
      <c r="S9" s="25" t="s">
        <v>64</v>
      </c>
      <c r="T9">
        <f>M10*B5+H18*H18*(H24+P6)+H18*H18*B5</f>
        <v>11630706.296034409</v>
      </c>
    </row>
    <row r="10" spans="1:21" ht="15.75" thickBot="1" x14ac:dyDescent="0.3">
      <c r="A10" s="21" t="s">
        <v>36</v>
      </c>
      <c r="B10">
        <f>0.93/1</f>
        <v>0.93</v>
      </c>
      <c r="F10" s="19" t="s">
        <v>14</v>
      </c>
      <c r="G10" s="23" t="s">
        <v>15</v>
      </c>
      <c r="H10" s="3">
        <f>H6/(B1*B3)</f>
        <v>0.84077771939043611</v>
      </c>
      <c r="J10" s="33" t="s">
        <v>43</v>
      </c>
      <c r="K10" s="3" t="s">
        <v>42</v>
      </c>
      <c r="L10" s="14" t="s">
        <v>35</v>
      </c>
      <c r="M10" s="20">
        <f>B9</f>
        <v>1.075268817204301</v>
      </c>
    </row>
    <row r="11" spans="1:21" ht="15.75" thickBot="1" x14ac:dyDescent="0.3">
      <c r="F11" s="19"/>
      <c r="G11" s="1" t="s">
        <v>16</v>
      </c>
      <c r="H11" s="3"/>
      <c r="J11" s="3"/>
      <c r="K11" s="3"/>
      <c r="L11" s="21" t="s">
        <v>34</v>
      </c>
      <c r="M11" s="20"/>
      <c r="O11" s="27" t="s">
        <v>68</v>
      </c>
    </row>
    <row r="12" spans="1:21" ht="15.75" thickBot="1" x14ac:dyDescent="0.3">
      <c r="O12" s="30" t="s">
        <v>14</v>
      </c>
      <c r="P12" s="14" t="s">
        <v>15</v>
      </c>
      <c r="Q12" s="46">
        <f>H6/(H6*T9)</f>
        <v>8.5979301217584591E-8</v>
      </c>
      <c r="R12" s="48" t="s">
        <v>70</v>
      </c>
      <c r="S12" s="47">
        <f>Q12*100</f>
        <v>8.5979301217584585E-6</v>
      </c>
      <c r="T12" s="47"/>
      <c r="U12" s="47"/>
    </row>
    <row r="13" spans="1:21" ht="15.75" thickBot="1" x14ac:dyDescent="0.3">
      <c r="F13" s="27">
        <v>3.3</v>
      </c>
      <c r="G13" s="11"/>
      <c r="H13" s="11"/>
      <c r="I13" s="11"/>
      <c r="J13" s="27" t="s">
        <v>46</v>
      </c>
      <c r="K13" s="11"/>
      <c r="L13" s="11"/>
      <c r="M13" s="11"/>
      <c r="O13" s="19"/>
      <c r="P13" t="s">
        <v>69</v>
      </c>
      <c r="Q13" s="46"/>
      <c r="R13" s="48"/>
      <c r="S13" s="47"/>
      <c r="T13" s="47"/>
      <c r="U13" s="47"/>
    </row>
    <row r="14" spans="1:21" ht="15.75" thickBot="1" x14ac:dyDescent="0.3">
      <c r="F14" s="19" t="s">
        <v>17</v>
      </c>
      <c r="G14" s="23" t="s">
        <v>4</v>
      </c>
      <c r="H14" s="20">
        <f>B3*B6</f>
        <v>1210</v>
      </c>
      <c r="J14" s="24" t="s">
        <v>18</v>
      </c>
      <c r="K14" s="2" t="s">
        <v>44</v>
      </c>
      <c r="L14" s="35">
        <f>C8</f>
        <v>213.92000000000002</v>
      </c>
    </row>
    <row r="15" spans="1:21" ht="15.75" thickBot="1" x14ac:dyDescent="0.3">
      <c r="F15" s="19"/>
      <c r="G15" s="26" t="s">
        <v>10</v>
      </c>
      <c r="H15" s="20"/>
      <c r="O15" s="49" t="s">
        <v>71</v>
      </c>
    </row>
    <row r="16" spans="1:21" x14ac:dyDescent="0.25">
      <c r="O16" s="18" t="s">
        <v>72</v>
      </c>
      <c r="P16" t="s">
        <v>73</v>
      </c>
      <c r="Q16" s="25">
        <f>0.8*C8</f>
        <v>171.13600000000002</v>
      </c>
    </row>
    <row r="17" spans="6:16" ht="15.75" thickBot="1" x14ac:dyDescent="0.3">
      <c r="F17" s="27">
        <v>3.4</v>
      </c>
      <c r="G17" s="11"/>
      <c r="H17" s="11"/>
      <c r="I17" s="11"/>
      <c r="J17" s="44" t="s">
        <v>45</v>
      </c>
      <c r="K17" s="11"/>
      <c r="L17" s="11"/>
      <c r="M17" s="11"/>
    </row>
    <row r="18" spans="6:16" x14ac:dyDescent="0.25">
      <c r="F18" s="18" t="s">
        <v>20</v>
      </c>
      <c r="G18" s="1" t="s">
        <v>21</v>
      </c>
      <c r="H18" s="25">
        <f>B1-H14</f>
        <v>-864</v>
      </c>
      <c r="J18" s="30" t="s">
        <v>47</v>
      </c>
      <c r="K18" s="32" t="s">
        <v>48</v>
      </c>
      <c r="L18" s="36" t="s">
        <v>49</v>
      </c>
      <c r="M18" s="3">
        <f>M10*(L14/B4)</f>
        <v>0.75268817204301064</v>
      </c>
    </row>
    <row r="19" spans="6:16" x14ac:dyDescent="0.25">
      <c r="J19" s="19"/>
      <c r="K19" s="32"/>
      <c r="L19" t="s">
        <v>50</v>
      </c>
      <c r="M19" s="3"/>
    </row>
    <row r="20" spans="6:16" ht="15.75" thickBot="1" x14ac:dyDescent="0.3">
      <c r="F20" s="27" t="s">
        <v>32</v>
      </c>
      <c r="G20" s="11"/>
      <c r="H20" s="11"/>
      <c r="I20" s="11"/>
    </row>
    <row r="21" spans="6:16" ht="15.75" customHeight="1" thickBot="1" x14ac:dyDescent="0.3">
      <c r="F21" s="19" t="s">
        <v>22</v>
      </c>
      <c r="G21" s="23" t="s">
        <v>23</v>
      </c>
      <c r="H21" s="20">
        <f>(B1*B1*B5)/B3</f>
        <v>17.848567272727276</v>
      </c>
      <c r="J21" s="27">
        <v>3.9</v>
      </c>
      <c r="K21" s="11"/>
      <c r="L21" s="11"/>
      <c r="M21" s="11"/>
      <c r="N21" s="11"/>
    </row>
    <row r="22" spans="6:16" ht="15" customHeight="1" x14ac:dyDescent="0.25">
      <c r="F22" s="19"/>
      <c r="G22" s="1" t="s">
        <v>4</v>
      </c>
      <c r="H22" s="20"/>
      <c r="J22" s="37"/>
      <c r="K22" s="38"/>
      <c r="L22" s="37"/>
      <c r="M22" s="39"/>
      <c r="N22" s="37"/>
    </row>
    <row r="23" spans="6:16" ht="18.75" thickBot="1" x14ac:dyDescent="0.3">
      <c r="F23" s="27" t="s">
        <v>30</v>
      </c>
      <c r="G23" s="11"/>
      <c r="H23" s="11"/>
      <c r="I23" s="11"/>
      <c r="J23" s="40" t="s">
        <v>51</v>
      </c>
      <c r="K23" s="41" t="s">
        <v>52</v>
      </c>
      <c r="L23" s="16" t="s">
        <v>35</v>
      </c>
      <c r="M23" s="31">
        <f>B2*((B3-B5*M10)/(B3-B5*H21))*B9</f>
        <v>1077.9649663490325</v>
      </c>
      <c r="N23" s="37"/>
    </row>
    <row r="24" spans="6:16" x14ac:dyDescent="0.25">
      <c r="F24" s="18" t="s">
        <v>24</v>
      </c>
      <c r="G24" s="1" t="s">
        <v>25</v>
      </c>
      <c r="H24">
        <f>B6+4.4</f>
        <v>15.4</v>
      </c>
      <c r="J24" s="40"/>
      <c r="K24" s="11" t="s">
        <v>53</v>
      </c>
      <c r="L24" s="42" t="s">
        <v>54</v>
      </c>
      <c r="M24" s="31"/>
      <c r="N24" s="11"/>
    </row>
    <row r="25" spans="6:16" ht="15.75" thickBot="1" x14ac:dyDescent="0.3">
      <c r="F25" s="27" t="s">
        <v>29</v>
      </c>
      <c r="G25" s="11"/>
      <c r="H25" s="11"/>
      <c r="I25" s="11"/>
      <c r="J25" s="11"/>
      <c r="K25" s="11"/>
      <c r="L25" s="11"/>
      <c r="M25" s="11"/>
      <c r="N25" s="11"/>
    </row>
    <row r="26" spans="6:16" ht="15.75" thickBot="1" x14ac:dyDescent="0.3">
      <c r="F26" s="19" t="s">
        <v>26</v>
      </c>
      <c r="G26" s="14" t="s">
        <v>4</v>
      </c>
      <c r="H26" s="3">
        <f>B3/H24</f>
        <v>7.1428571428571423</v>
      </c>
      <c r="J26" s="45">
        <v>3.1</v>
      </c>
      <c r="K26" s="11"/>
      <c r="L26" s="11"/>
      <c r="M26" s="11"/>
      <c r="N26" s="11"/>
      <c r="P26" s="11"/>
    </row>
    <row r="27" spans="6:16" ht="18.75" thickBot="1" x14ac:dyDescent="0.3">
      <c r="F27" s="19"/>
      <c r="G27" s="21" t="s">
        <v>10</v>
      </c>
      <c r="H27" s="3"/>
      <c r="J27" s="30" t="s">
        <v>55</v>
      </c>
      <c r="K27" s="41" t="s">
        <v>56</v>
      </c>
      <c r="L27" s="16" t="s">
        <v>35</v>
      </c>
      <c r="M27" s="31">
        <f>B2*((B3-B5*M18)/(B3-B5*H18))*B9</f>
        <v>952.45774071670769</v>
      </c>
      <c r="N27" s="11"/>
    </row>
    <row r="28" spans="6:16" x14ac:dyDescent="0.25">
      <c r="J28" s="32"/>
      <c r="K28" s="11" t="s">
        <v>57</v>
      </c>
      <c r="L28" s="42" t="s">
        <v>54</v>
      </c>
      <c r="M28" s="31"/>
    </row>
    <row r="29" spans="6:16" ht="15.75" thickBot="1" x14ac:dyDescent="0.3">
      <c r="F29" s="14" t="s">
        <v>31</v>
      </c>
      <c r="G29" s="11"/>
      <c r="H29" s="11"/>
      <c r="I29" s="11"/>
      <c r="J29" s="11"/>
      <c r="K29" s="11"/>
      <c r="L29" s="11"/>
      <c r="M29" s="11"/>
    </row>
    <row r="30" spans="6:16" ht="15.75" thickBot="1" x14ac:dyDescent="0.3">
      <c r="G30" s="14" t="s">
        <v>27</v>
      </c>
      <c r="H30" s="20">
        <f>H26/H14</f>
        <v>5.9031877213695395E-3</v>
      </c>
      <c r="J30" s="27">
        <v>3.11</v>
      </c>
    </row>
    <row r="31" spans="6:16" ht="15.75" thickBot="1" x14ac:dyDescent="0.3">
      <c r="G31" s="21" t="s">
        <v>28</v>
      </c>
      <c r="H31" s="20"/>
      <c r="J31" s="30" t="s">
        <v>58</v>
      </c>
      <c r="K31" s="17" t="s">
        <v>59</v>
      </c>
      <c r="L31" s="3">
        <f>(C8*M27)/9.55</f>
        <v>21335.053392054251</v>
      </c>
    </row>
    <row r="32" spans="6:16" ht="15.75" thickBot="1" x14ac:dyDescent="0.3">
      <c r="F32" s="14" t="s">
        <v>33</v>
      </c>
      <c r="G32" s="11"/>
      <c r="H32" s="11"/>
      <c r="I32" s="11"/>
      <c r="J32" s="19"/>
      <c r="K32" s="37">
        <v>9.5500000000000007</v>
      </c>
      <c r="L32" s="3"/>
      <c r="M32" s="11"/>
    </row>
    <row r="33" spans="7:8" ht="15.75" thickBot="1" x14ac:dyDescent="0.3">
      <c r="G33" s="14" t="s">
        <v>34</v>
      </c>
      <c r="H33" s="28">
        <f>0.93</f>
        <v>0.93</v>
      </c>
    </row>
    <row r="34" spans="7:8" x14ac:dyDescent="0.25">
      <c r="G34" s="21" t="s">
        <v>35</v>
      </c>
      <c r="H34" s="20"/>
    </row>
  </sheetData>
  <mergeCells count="32">
    <mergeCell ref="S12:U13"/>
    <mergeCell ref="J31:J32"/>
    <mergeCell ref="L31:L32"/>
    <mergeCell ref="O12:O13"/>
    <mergeCell ref="Q12:Q13"/>
    <mergeCell ref="R12:R13"/>
    <mergeCell ref="J23:J24"/>
    <mergeCell ref="M23:M24"/>
    <mergeCell ref="J27:J28"/>
    <mergeCell ref="M27:M28"/>
    <mergeCell ref="J18:J19"/>
    <mergeCell ref="K18:K19"/>
    <mergeCell ref="M18:M19"/>
    <mergeCell ref="J6:J7"/>
    <mergeCell ref="K6:K7"/>
    <mergeCell ref="M6:M7"/>
    <mergeCell ref="J10:J11"/>
    <mergeCell ref="K10:K11"/>
    <mergeCell ref="M10:M11"/>
    <mergeCell ref="F21:F22"/>
    <mergeCell ref="H21:H22"/>
    <mergeCell ref="F26:F27"/>
    <mergeCell ref="H26:H27"/>
    <mergeCell ref="H30:H31"/>
    <mergeCell ref="H33:H34"/>
    <mergeCell ref="A7:C7"/>
    <mergeCell ref="F6:F7"/>
    <mergeCell ref="H6:H7"/>
    <mergeCell ref="F10:F11"/>
    <mergeCell ref="H10:H11"/>
    <mergeCell ref="F14:F15"/>
    <mergeCell ref="H14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2025-04-12T13:08:01Z</dcterms:created>
  <dcterms:modified xsi:type="dcterms:W3CDTF">2025-04-12T14:30:13Z</dcterms:modified>
</cp:coreProperties>
</file>