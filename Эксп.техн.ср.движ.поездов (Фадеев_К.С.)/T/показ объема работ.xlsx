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Татьяна\Desktop\"/>
    </mc:Choice>
  </mc:AlternateContent>
  <bookViews>
    <workbookView xWindow="12144" yWindow="3228" windowWidth="10896" windowHeight="8880" firstSheet="1" activeTab="1"/>
  </bookViews>
  <sheets>
    <sheet name="ЦС и Ф" sheetId="1" r:id="rId1"/>
    <sheet name="Др. ст." sheetId="2" r:id="rId2"/>
    <sheet name="Линии связи" sheetId="3" r:id="rId3"/>
    <sheet name="Полный объем работ" sheetId="5" r:id="rId4"/>
    <sheet name="Численность ДС" sheetId="4" r:id="rId5"/>
    <sheet name="Численность штата ЛПУ ПС" sheetId="6" r:id="rId6"/>
    <sheet name="ч.ш. ЛПУ радиосвязи" sheetId="7" r:id="rId7"/>
    <sheet name="+ ЛПУ РДС" sheetId="11" r:id="rId8"/>
    <sheet name="ч.ш. РТУ" sheetId="8" r:id="rId9"/>
    <sheet name="ч. ш. ПБ" sheetId="9" r:id="rId10"/>
    <sheet name="ч. ш. ТТС " sheetId="10" r:id="rId1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5" i="11" l="1"/>
  <c r="J15" i="11" s="1"/>
  <c r="G14" i="11"/>
  <c r="G10" i="11"/>
  <c r="G6" i="11"/>
  <c r="G11" i="11"/>
  <c r="G12" i="11"/>
  <c r="G13" i="11"/>
  <c r="I13" i="11" s="1"/>
  <c r="G7" i="11"/>
  <c r="I19" i="11"/>
  <c r="I20" i="11"/>
  <c r="I21" i="11"/>
  <c r="I22" i="11"/>
  <c r="I23" i="11"/>
  <c r="I24" i="11"/>
  <c r="I25" i="11"/>
  <c r="I26" i="11"/>
  <c r="I27" i="11"/>
  <c r="I18" i="11"/>
  <c r="I10" i="11"/>
  <c r="I11" i="11"/>
  <c r="J12" i="11"/>
  <c r="I14" i="11"/>
  <c r="J16" i="11"/>
  <c r="I9" i="11"/>
  <c r="R34" i="8"/>
  <c r="R26" i="8"/>
  <c r="R18" i="8"/>
  <c r="R17" i="8"/>
  <c r="R16" i="8"/>
  <c r="R15" i="8"/>
  <c r="R14" i="8"/>
  <c r="R13" i="8"/>
  <c r="R5" i="8"/>
  <c r="R4" i="8"/>
  <c r="L35" i="8"/>
  <c r="L34" i="8"/>
  <c r="L26" i="8"/>
  <c r="L18" i="8"/>
  <c r="L17" i="8"/>
  <c r="L16" i="8"/>
  <c r="L15" i="8"/>
  <c r="L14" i="8"/>
  <c r="L13" i="8"/>
  <c r="L5" i="8"/>
  <c r="L4" i="8"/>
  <c r="F35" i="8"/>
  <c r="F34" i="8"/>
  <c r="F26" i="8"/>
  <c r="F14" i="8"/>
  <c r="F15" i="8"/>
  <c r="F16" i="8"/>
  <c r="F17" i="8"/>
  <c r="F18" i="8"/>
  <c r="F13" i="8"/>
  <c r="F5" i="8"/>
  <c r="F4" i="8"/>
  <c r="G6" i="7"/>
  <c r="H136" i="7" l="1"/>
  <c r="J134" i="7"/>
  <c r="I134" i="7"/>
  <c r="H134" i="7"/>
  <c r="G11" i="7"/>
  <c r="G5" i="7"/>
  <c r="G131" i="7"/>
  <c r="I125" i="7"/>
  <c r="I126" i="7"/>
  <c r="I127" i="7"/>
  <c r="I132" i="7"/>
  <c r="G119" i="7"/>
  <c r="I112" i="7"/>
  <c r="J120" i="7"/>
  <c r="I109" i="7"/>
  <c r="I108" i="7"/>
  <c r="I98" i="7"/>
  <c r="I99" i="7"/>
  <c r="I100" i="7"/>
  <c r="I105" i="7"/>
  <c r="G104" i="7"/>
  <c r="G92" i="7"/>
  <c r="I84" i="7"/>
  <c r="I87" i="7"/>
  <c r="J93" i="7"/>
  <c r="J94" i="7" s="1"/>
  <c r="J135" i="7" s="1"/>
  <c r="I83" i="7"/>
  <c r="I94" i="7" s="1"/>
  <c r="I77" i="7"/>
  <c r="G74" i="7"/>
  <c r="G73" i="7"/>
  <c r="G72" i="7"/>
  <c r="G71" i="7"/>
  <c r="G69" i="7"/>
  <c r="G70" i="7"/>
  <c r="G66" i="7"/>
  <c r="S13" i="2"/>
  <c r="G59" i="7"/>
  <c r="G58" i="7"/>
  <c r="G57" i="7"/>
  <c r="G56" i="7"/>
  <c r="G55" i="7"/>
  <c r="G54" i="7"/>
  <c r="G51" i="7"/>
  <c r="I8" i="7"/>
  <c r="H8" i="7"/>
  <c r="G7" i="7"/>
  <c r="G10" i="7"/>
  <c r="G36" i="7"/>
  <c r="G35" i="7"/>
  <c r="G33" i="7"/>
  <c r="G34" i="7"/>
  <c r="G32" i="7"/>
  <c r="G37" i="7"/>
  <c r="G15" i="7"/>
  <c r="G41" i="7"/>
  <c r="G38" i="7"/>
  <c r="I10" i="2"/>
  <c r="G14" i="7"/>
  <c r="G18" i="7"/>
  <c r="G13" i="7"/>
  <c r="G12" i="7"/>
  <c r="I135" i="7" l="1"/>
  <c r="O15" i="6"/>
  <c r="O10" i="6"/>
  <c r="Q11" i="6"/>
  <c r="Q4" i="6"/>
  <c r="O11" i="6"/>
  <c r="P11" i="6"/>
  <c r="P4" i="6"/>
  <c r="O4" i="6"/>
  <c r="H79" i="6"/>
  <c r="H80" i="6"/>
  <c r="I78" i="6"/>
  <c r="J78" i="6"/>
  <c r="J79" i="6" s="1"/>
  <c r="H78" i="6"/>
  <c r="G59" i="6"/>
  <c r="G58" i="6"/>
  <c r="G39" i="6"/>
  <c r="G38" i="6"/>
  <c r="G37" i="6"/>
  <c r="G45" i="6"/>
  <c r="G44" i="6"/>
  <c r="G42" i="6"/>
  <c r="G43" i="6"/>
  <c r="G57" i="6"/>
  <c r="G56" i="6"/>
  <c r="G53" i="6"/>
  <c r="G52" i="6"/>
  <c r="G51" i="6"/>
  <c r="J61" i="6"/>
  <c r="J62" i="6" s="1"/>
  <c r="I60" i="6"/>
  <c r="I55" i="6"/>
  <c r="I54" i="6"/>
  <c r="I62" i="6" s="1"/>
  <c r="J21" i="4"/>
  <c r="J20" i="4"/>
  <c r="G71" i="6"/>
  <c r="I72" i="6"/>
  <c r="G69" i="6"/>
  <c r="G66" i="6"/>
  <c r="G64" i="6"/>
  <c r="J20" i="6"/>
  <c r="I20" i="6"/>
  <c r="I34" i="6"/>
  <c r="J33" i="6"/>
  <c r="J34" i="6" s="1"/>
  <c r="I32" i="6"/>
  <c r="G29" i="6"/>
  <c r="G28" i="6"/>
  <c r="G25" i="6"/>
  <c r="J15" i="6"/>
  <c r="I15" i="6"/>
  <c r="G12" i="6"/>
  <c r="G11" i="6"/>
  <c r="G9" i="6"/>
  <c r="G8" i="6"/>
  <c r="I40" i="6"/>
  <c r="I48" i="6" s="1"/>
  <c r="I41" i="6"/>
  <c r="I46" i="6"/>
  <c r="J47" i="6"/>
  <c r="J48" i="6" s="1"/>
  <c r="G24" i="6"/>
  <c r="G22" i="6"/>
  <c r="G7" i="6"/>
  <c r="E8" i="3"/>
  <c r="E7" i="3"/>
  <c r="P5" i="3"/>
  <c r="I67" i="6" l="1"/>
  <c r="I79" i="6" s="1"/>
  <c r="E4" i="3"/>
  <c r="E6" i="3"/>
  <c r="H18" i="4" l="1"/>
  <c r="H15" i="4"/>
  <c r="G5" i="6"/>
  <c r="R13" i="4"/>
  <c r="R15" i="4"/>
  <c r="P15" i="4"/>
  <c r="P9" i="4"/>
  <c r="H9" i="4"/>
  <c r="R16" i="4"/>
  <c r="J13" i="4"/>
  <c r="J16" i="4"/>
  <c r="I5" i="2"/>
  <c r="E1" i="5"/>
  <c r="B10" i="5"/>
  <c r="AF6" i="3"/>
  <c r="I5" i="3"/>
  <c r="J5" i="3" s="1"/>
  <c r="G5" i="3"/>
  <c r="G6" i="3"/>
  <c r="I6" i="3" s="1"/>
  <c r="J6" i="3" s="1"/>
  <c r="E5" i="3"/>
  <c r="AA5" i="3"/>
  <c r="AC5" i="3" s="1"/>
  <c r="AE5" i="3" s="1"/>
  <c r="AF5" i="3" s="1"/>
  <c r="R5" i="3"/>
  <c r="T5" i="3" s="1"/>
  <c r="U5" i="3" s="1"/>
  <c r="U6" i="3" s="1"/>
  <c r="B9" i="5" s="1"/>
  <c r="AA4" i="3"/>
  <c r="P4" i="3"/>
  <c r="R4" i="3" s="1"/>
  <c r="T4" i="3" s="1"/>
  <c r="U4" i="3" s="1"/>
  <c r="P3" i="3"/>
  <c r="AA3" i="3"/>
  <c r="AC3" i="3" s="1"/>
  <c r="AE3" i="3" s="1"/>
  <c r="AF3" i="3" s="1"/>
  <c r="G8" i="3"/>
  <c r="I8" i="3" s="1"/>
  <c r="J8" i="3" s="1"/>
  <c r="E3" i="3"/>
  <c r="B7" i="5"/>
  <c r="B6" i="5"/>
  <c r="B3" i="5"/>
  <c r="B1" i="5"/>
  <c r="K43" i="1"/>
  <c r="K44" i="1"/>
  <c r="K45" i="1"/>
  <c r="K46" i="1"/>
  <c r="M46" i="1" s="1"/>
  <c r="K47" i="1"/>
  <c r="D43" i="1"/>
  <c r="D44" i="1"/>
  <c r="D45" i="1"/>
  <c r="D46" i="1"/>
  <c r="F46" i="1" s="1"/>
  <c r="D47" i="1"/>
  <c r="M43" i="1"/>
  <c r="M44" i="1"/>
  <c r="M45" i="1"/>
  <c r="M47" i="1"/>
  <c r="F43" i="1"/>
  <c r="F44" i="1"/>
  <c r="F45" i="1"/>
  <c r="F47" i="1"/>
  <c r="I46" i="1"/>
  <c r="B46" i="1"/>
  <c r="I45" i="1"/>
  <c r="B45" i="1"/>
  <c r="B35" i="1"/>
  <c r="D35" i="1" s="1"/>
  <c r="F35" i="1" s="1"/>
  <c r="K36" i="1"/>
  <c r="M36" i="1" s="1"/>
  <c r="K37" i="1"/>
  <c r="M37" i="1" s="1"/>
  <c r="K38" i="1"/>
  <c r="M38" i="1" s="1"/>
  <c r="K39" i="1"/>
  <c r="M39" i="1" s="1"/>
  <c r="K40" i="1"/>
  <c r="M40" i="1" s="1"/>
  <c r="K41" i="1"/>
  <c r="M41" i="1" s="1"/>
  <c r="K42" i="1"/>
  <c r="M42" i="1" s="1"/>
  <c r="M48" i="1" s="1"/>
  <c r="B4" i="5" s="1"/>
  <c r="K35" i="1"/>
  <c r="M35" i="1" s="1"/>
  <c r="D36" i="1"/>
  <c r="F36" i="1" s="1"/>
  <c r="D37" i="1"/>
  <c r="F37" i="1" s="1"/>
  <c r="D38" i="1"/>
  <c r="F38" i="1" s="1"/>
  <c r="D39" i="1"/>
  <c r="F39" i="1" s="1"/>
  <c r="D40" i="1"/>
  <c r="F40" i="1" s="1"/>
  <c r="D41" i="1"/>
  <c r="F41" i="1" s="1"/>
  <c r="D42" i="1"/>
  <c r="F42" i="1" s="1"/>
  <c r="AC4" i="3"/>
  <c r="AE4" i="3" s="1"/>
  <c r="AF4" i="3" s="1"/>
  <c r="R3" i="3"/>
  <c r="T3" i="3" s="1"/>
  <c r="U3" i="3" s="1"/>
  <c r="G3" i="3"/>
  <c r="I3" i="3" s="1"/>
  <c r="J3" i="3" s="1"/>
  <c r="G7" i="3"/>
  <c r="I7" i="3" s="1"/>
  <c r="J7" i="3" s="1"/>
  <c r="G4" i="3"/>
  <c r="I4" i="3" s="1"/>
  <c r="J4" i="3" s="1"/>
  <c r="AD19" i="2"/>
  <c r="S16" i="2"/>
  <c r="X15" i="2"/>
  <c r="Z15" i="2" s="1"/>
  <c r="AB15" i="2" s="1"/>
  <c r="AD15" i="2" s="1"/>
  <c r="X16" i="2"/>
  <c r="Z16" i="2" s="1"/>
  <c r="AB16" i="2" s="1"/>
  <c r="AD16" i="2" s="1"/>
  <c r="M14" i="2"/>
  <c r="O14" i="2" s="1"/>
  <c r="Q14" i="2" s="1"/>
  <c r="S14" i="2" s="1"/>
  <c r="C17" i="2"/>
  <c r="E17" i="2" s="1"/>
  <c r="G17" i="2" s="1"/>
  <c r="I17" i="2" s="1"/>
  <c r="C16" i="2"/>
  <c r="E16" i="2" s="1"/>
  <c r="G16" i="2" s="1"/>
  <c r="I16" i="2" s="1"/>
  <c r="Z13" i="2"/>
  <c r="AB13" i="2" s="1"/>
  <c r="AD13" i="2" s="1"/>
  <c r="Z18" i="2"/>
  <c r="AB18" i="2"/>
  <c r="AD18" i="2" s="1"/>
  <c r="Z17" i="2"/>
  <c r="AB17" i="2" s="1"/>
  <c r="AD17" i="2" s="1"/>
  <c r="X14" i="2"/>
  <c r="Z14" i="2" s="1"/>
  <c r="AB14" i="2" s="1"/>
  <c r="AD14" i="2" s="1"/>
  <c r="Z12" i="2"/>
  <c r="AB12" i="2" s="1"/>
  <c r="AD12" i="2" s="1"/>
  <c r="Z11" i="2"/>
  <c r="AB11" i="2" s="1"/>
  <c r="AD11" i="2" s="1"/>
  <c r="AB10" i="2"/>
  <c r="AD10" i="2" s="1"/>
  <c r="Z10" i="2"/>
  <c r="Z9" i="2"/>
  <c r="AB9" i="2" s="1"/>
  <c r="AD9" i="2" s="1"/>
  <c r="Z8" i="2"/>
  <c r="AB8" i="2" s="1"/>
  <c r="AD8" i="2" s="1"/>
  <c r="Z7" i="2"/>
  <c r="AB7" i="2" s="1"/>
  <c r="AD7" i="2" s="1"/>
  <c r="Z6" i="2"/>
  <c r="AB6" i="2" s="1"/>
  <c r="AD6" i="2" s="1"/>
  <c r="Z5" i="2"/>
  <c r="AB5" i="2" s="1"/>
  <c r="AD5" i="2" s="1"/>
  <c r="Z4" i="2"/>
  <c r="AB4" i="2" s="1"/>
  <c r="AD4" i="2" s="1"/>
  <c r="Z3" i="2"/>
  <c r="AB3" i="2" s="1"/>
  <c r="AD3" i="2" s="1"/>
  <c r="O15" i="2"/>
  <c r="Q15" i="2" s="1"/>
  <c r="S15" i="2" s="1"/>
  <c r="M13" i="2"/>
  <c r="O13" i="2" s="1"/>
  <c r="Q13" i="2" s="1"/>
  <c r="O12" i="2"/>
  <c r="Q12" i="2" s="1"/>
  <c r="S12" i="2" s="1"/>
  <c r="O11" i="2"/>
  <c r="Q11" i="2" s="1"/>
  <c r="S11" i="2" s="1"/>
  <c r="O10" i="2"/>
  <c r="Q10" i="2" s="1"/>
  <c r="S10" i="2" s="1"/>
  <c r="O9" i="2"/>
  <c r="Q9" i="2" s="1"/>
  <c r="S9" i="2" s="1"/>
  <c r="O8" i="2"/>
  <c r="Q8" i="2" s="1"/>
  <c r="S8" i="2" s="1"/>
  <c r="O7" i="2"/>
  <c r="Q7" i="2" s="1"/>
  <c r="S7" i="2" s="1"/>
  <c r="O6" i="2"/>
  <c r="Q6" i="2" s="1"/>
  <c r="S6" i="2" s="1"/>
  <c r="O5" i="2"/>
  <c r="Q5" i="2" s="1"/>
  <c r="S5" i="2" s="1"/>
  <c r="O4" i="2"/>
  <c r="Q4" i="2" s="1"/>
  <c r="S4" i="2" s="1"/>
  <c r="O3" i="2"/>
  <c r="Q3" i="2" s="1"/>
  <c r="S3" i="2" s="1"/>
  <c r="C15" i="2"/>
  <c r="E15" i="2" s="1"/>
  <c r="G15" i="2" s="1"/>
  <c r="I15" i="2" s="1"/>
  <c r="C14" i="2"/>
  <c r="E14" i="2" s="1"/>
  <c r="G14" i="2" s="1"/>
  <c r="I14" i="2" s="1"/>
  <c r="E19" i="2"/>
  <c r="G19" i="2" s="1"/>
  <c r="I19" i="2" s="1"/>
  <c r="E12" i="2"/>
  <c r="G12" i="2" s="1"/>
  <c r="I12" i="2" s="1"/>
  <c r="E10" i="2"/>
  <c r="G10" i="2" s="1"/>
  <c r="E11" i="2"/>
  <c r="G11" i="2" s="1"/>
  <c r="I11" i="2" s="1"/>
  <c r="E13" i="2"/>
  <c r="G13" i="2" s="1"/>
  <c r="I13" i="2" s="1"/>
  <c r="E18" i="2"/>
  <c r="G18" i="2" s="1"/>
  <c r="I18" i="2" s="1"/>
  <c r="E6" i="2"/>
  <c r="G6" i="2" s="1"/>
  <c r="I6" i="2" s="1"/>
  <c r="E7" i="2"/>
  <c r="G7" i="2" s="1"/>
  <c r="I7" i="2" s="1"/>
  <c r="E8" i="2"/>
  <c r="G8" i="2" s="1"/>
  <c r="I8" i="2" s="1"/>
  <c r="E9" i="2"/>
  <c r="G9" i="2" s="1"/>
  <c r="I9" i="2" s="1"/>
  <c r="E3" i="2"/>
  <c r="G3" i="2" s="1"/>
  <c r="I3" i="2" s="1"/>
  <c r="E4" i="2"/>
  <c r="G4" i="2" s="1"/>
  <c r="I4" i="2" s="1"/>
  <c r="E5" i="2"/>
  <c r="G5" i="2" s="1"/>
  <c r="F27" i="1"/>
  <c r="F30" i="1"/>
  <c r="F26" i="1"/>
  <c r="F22" i="1"/>
  <c r="F16" i="1"/>
  <c r="F19" i="1"/>
  <c r="F20" i="1"/>
  <c r="F6" i="1"/>
  <c r="F7" i="1"/>
  <c r="F10" i="1"/>
  <c r="F11" i="1"/>
  <c r="F4" i="1"/>
  <c r="K27" i="1"/>
  <c r="M27" i="1" s="1"/>
  <c r="K28" i="1"/>
  <c r="M28" i="1" s="1"/>
  <c r="K29" i="1"/>
  <c r="M29" i="1" s="1"/>
  <c r="K30" i="1"/>
  <c r="M30" i="1" s="1"/>
  <c r="K26" i="1"/>
  <c r="M26" i="1" s="1"/>
  <c r="K23" i="1"/>
  <c r="M23" i="1" s="1"/>
  <c r="K24" i="1"/>
  <c r="M24" i="1" s="1"/>
  <c r="K22" i="1"/>
  <c r="M22" i="1" s="1"/>
  <c r="K16" i="1"/>
  <c r="M16" i="1" s="1"/>
  <c r="K17" i="1"/>
  <c r="M17" i="1" s="1"/>
  <c r="K18" i="1"/>
  <c r="M18" i="1" s="1"/>
  <c r="K19" i="1"/>
  <c r="M19" i="1" s="1"/>
  <c r="K20" i="1"/>
  <c r="M20" i="1" s="1"/>
  <c r="K15" i="1"/>
  <c r="M15" i="1" s="1"/>
  <c r="K5" i="1"/>
  <c r="M5" i="1" s="1"/>
  <c r="K6" i="1"/>
  <c r="M6" i="1" s="1"/>
  <c r="K7" i="1"/>
  <c r="M7" i="1" s="1"/>
  <c r="K8" i="1"/>
  <c r="M8" i="1" s="1"/>
  <c r="K9" i="1"/>
  <c r="M9" i="1" s="1"/>
  <c r="K10" i="1"/>
  <c r="M10" i="1" s="1"/>
  <c r="K11" i="1"/>
  <c r="M11" i="1" s="1"/>
  <c r="K12" i="1"/>
  <c r="M12" i="1" s="1"/>
  <c r="K13" i="1"/>
  <c r="M13" i="1" s="1"/>
  <c r="K4" i="1"/>
  <c r="M4" i="1" s="1"/>
  <c r="L4" i="1"/>
  <c r="E4" i="1"/>
  <c r="D27" i="1"/>
  <c r="D28" i="1"/>
  <c r="F28" i="1" s="1"/>
  <c r="D29" i="1"/>
  <c r="F29" i="1" s="1"/>
  <c r="D30" i="1"/>
  <c r="D26" i="1"/>
  <c r="D23" i="1"/>
  <c r="F23" i="1" s="1"/>
  <c r="D24" i="1"/>
  <c r="F24" i="1" s="1"/>
  <c r="D22" i="1"/>
  <c r="D16" i="1"/>
  <c r="D17" i="1"/>
  <c r="F17" i="1" s="1"/>
  <c r="D18" i="1"/>
  <c r="F18" i="1" s="1"/>
  <c r="D19" i="1"/>
  <c r="D20" i="1"/>
  <c r="D15" i="1"/>
  <c r="F15" i="1" s="1"/>
  <c r="D5" i="1"/>
  <c r="F5" i="1" s="1"/>
  <c r="D6" i="1"/>
  <c r="D7" i="1"/>
  <c r="D8" i="1"/>
  <c r="F8" i="1" s="1"/>
  <c r="D9" i="1"/>
  <c r="F9" i="1" s="1"/>
  <c r="D10" i="1"/>
  <c r="D11" i="1"/>
  <c r="D12" i="1"/>
  <c r="F12" i="1" s="1"/>
  <c r="D13" i="1"/>
  <c r="F13" i="1" s="1"/>
  <c r="D4" i="1"/>
  <c r="I20" i="2" l="1"/>
  <c r="B5" i="5" s="1"/>
  <c r="R17" i="4"/>
  <c r="R18" i="4" s="1"/>
  <c r="F31" i="1"/>
  <c r="M31" i="1"/>
  <c r="F48" i="1"/>
  <c r="B2" i="5" s="1"/>
  <c r="J9" i="3"/>
  <c r="B8" i="5" s="1"/>
  <c r="B11" i="5" l="1"/>
  <c r="E3" i="5" l="1"/>
  <c r="E4" i="5"/>
  <c r="E5" i="5" l="1"/>
</calcChain>
</file>

<file path=xl/sharedStrings.xml><?xml version="1.0" encoding="utf-8"?>
<sst xmlns="http://schemas.openxmlformats.org/spreadsheetml/2006/main" count="1372" uniqueCount="276">
  <si>
    <t>Обслуживаемые устройства</t>
  </si>
  <si>
    <t>Значение для центра</t>
  </si>
  <si>
    <t>Значение для филиала</t>
  </si>
  <si>
    <t>Устройства проводной связи</t>
  </si>
  <si>
    <t>Цифровая АТС, точек подкл. (незадейств./задейств.)</t>
  </si>
  <si>
    <t xml:space="preserve">ЛАЗ с цифровыми оконечн. полукомпл., канал </t>
  </si>
  <si>
    <t>Автоматическая цифровая ТС, точек подкл.</t>
  </si>
  <si>
    <t>Факсимильные телеграфные аппараты, аппарат</t>
  </si>
  <si>
    <t>Распорядит. станции связи, комплект (диспетчерской/постанционной)</t>
  </si>
  <si>
    <t>Коммутаторы оперативно-технологической связи, номер</t>
  </si>
  <si>
    <t>Устройства радиосвязи</t>
  </si>
  <si>
    <t>Локомотивные радиостанции поездной радиосвязи, р/ст. («чужих»/«своих»)</t>
  </si>
  <si>
    <t>Стационарные радиостанции поездной радиосвязи, р/ст.</t>
  </si>
  <si>
    <t>Радиостанции локомотивные станционной радиосв., р/ст.</t>
  </si>
  <si>
    <t>Радиостанции стационар. станционной и ремон.-опер. радиосвязи и возимые, р/ст.</t>
  </si>
  <si>
    <t>Речевые информаторы, комплект</t>
  </si>
  <si>
    <t>Автоматизированные устройства для обслуживания пассажиров</t>
  </si>
  <si>
    <t>Информационные системы отправл. поездов, знакомест</t>
  </si>
  <si>
    <t>Промыш. телевизионные установки, передающая камера</t>
  </si>
  <si>
    <t>Переговорные устройства типа «пассажир – кассир», шт.</t>
  </si>
  <si>
    <t>Устройства вычислительной техники</t>
  </si>
  <si>
    <t>Персональные ЭВМ, шт.</t>
  </si>
  <si>
    <t>Модем, канал</t>
  </si>
  <si>
    <t>Печатающее устройство, шт.</t>
  </si>
  <si>
    <t>Дисплеи разного назначения, шт.</t>
  </si>
  <si>
    <t>Аппаратура передачи данных, комплект</t>
  </si>
  <si>
    <t>Измеритель</t>
  </si>
  <si>
    <t>N</t>
  </si>
  <si>
    <t>Сумма:</t>
  </si>
  <si>
    <t>Аппаратура ВЧ телефонирования: цифровые оконечные полукомплекты, канал</t>
  </si>
  <si>
    <t>Распорядительные станции постанционной связи, комплект</t>
  </si>
  <si>
    <t>Телефонные аппараты, аппарат</t>
  </si>
  <si>
    <t>Промежуточные пункты ОТС, промпункт</t>
  </si>
  <si>
    <t>Аппаратура связи совещаний на станциях, комплект</t>
  </si>
  <si>
    <t>Радиостанции стационарные ПРС, р/ст</t>
  </si>
  <si>
    <t>Радиостанции стационарные СРС р/ст</t>
  </si>
  <si>
    <t>Аппаратура регистрации служебных переговоров, комплект</t>
  </si>
  <si>
    <t>Пр. ст.</t>
  </si>
  <si>
    <t>Уч. ст.</t>
  </si>
  <si>
    <t>Количество станций</t>
  </si>
  <si>
    <t>Значение для линии I категории</t>
  </si>
  <si>
    <t>Значение для линии II категории</t>
  </si>
  <si>
    <t>Аппаратура ВЧ телефонирования: аналоговые оконечные полукомплекты, канал</t>
  </si>
  <si>
    <t>Значение для линии IV категории</t>
  </si>
  <si>
    <t>Тупик. ст.</t>
  </si>
  <si>
    <t>Местные кабельные линии связи, км</t>
  </si>
  <si>
    <t>Усилители 1000 Вт, усилитель</t>
  </si>
  <si>
    <t>Усилители 600 Вт, усилитель</t>
  </si>
  <si>
    <t>Радиостанции носимые, р/ст.</t>
  </si>
  <si>
    <t>Громкоговорители, шт.</t>
  </si>
  <si>
    <t>Звуковые колонки (переговорные устройства парковой связи), шт.</t>
  </si>
  <si>
    <t>Пр. и тупик. ст.</t>
  </si>
  <si>
    <t>Магистральные воздушные линии связи, проводо-км</t>
  </si>
  <si>
    <t>ВОЛС, км</t>
  </si>
  <si>
    <t>Магистральные кабельные линии связи, км</t>
  </si>
  <si>
    <t>Длина линии связи, км</t>
  </si>
  <si>
    <t>Длина станции или перегона, км</t>
  </si>
  <si>
    <t>Объем работ и количество человек должно быть равным</t>
  </si>
  <si>
    <t xml:space="preserve">Бригада - 5 или 10 </t>
  </si>
  <si>
    <t>ЛПУ - от 3 до 5 бригад</t>
  </si>
  <si>
    <t>ЦС</t>
  </si>
  <si>
    <t>доп. ЦС</t>
  </si>
  <si>
    <t>Ф</t>
  </si>
  <si>
    <t>доп. Ф</t>
  </si>
  <si>
    <t>Оборудование на линиях I категории</t>
  </si>
  <si>
    <t>Оборудование на линиях II категории</t>
  </si>
  <si>
    <t>Оборудование на линиях IV категории</t>
  </si>
  <si>
    <t>Оборудование ЛС на линиях I категории</t>
  </si>
  <si>
    <t>Оборудование ЛС на линиях II категории</t>
  </si>
  <si>
    <t>Оборудование ЛС на линиях IV категории</t>
  </si>
  <si>
    <t>РЦСС (без Н)</t>
  </si>
  <si>
    <r>
      <t>V</t>
    </r>
    <r>
      <rPr>
        <vertAlign val="subscript"/>
        <sz val="14"/>
        <color theme="1"/>
        <rFont val="Times New Roman"/>
        <family val="1"/>
        <charset val="204"/>
      </rPr>
      <t>N</t>
    </r>
    <r>
      <rPr>
        <sz val="14"/>
        <color theme="1"/>
        <rFont val="Times New Roman"/>
        <family val="1"/>
        <charset val="204"/>
      </rPr>
      <t>, TE</t>
    </r>
  </si>
  <si>
    <r>
      <t>Общая T</t>
    </r>
    <r>
      <rPr>
        <vertAlign val="subscript"/>
        <sz val="14"/>
        <color theme="1"/>
        <rFont val="Times New Roman"/>
        <family val="1"/>
        <charset val="204"/>
      </rPr>
      <t>0</t>
    </r>
    <r>
      <rPr>
        <sz val="14"/>
        <color theme="1"/>
        <rFont val="Times New Roman"/>
        <family val="1"/>
        <charset val="204"/>
      </rPr>
      <t>,TE</t>
    </r>
  </si>
  <si>
    <r>
      <t>T</t>
    </r>
    <r>
      <rPr>
        <vertAlign val="subscript"/>
        <sz val="14"/>
        <color theme="1"/>
        <rFont val="Times New Roman"/>
        <family val="1"/>
        <charset val="204"/>
      </rPr>
      <t>0</t>
    </r>
    <r>
      <rPr>
        <sz val="14"/>
        <color theme="1"/>
        <rFont val="Times New Roman"/>
        <family val="1"/>
        <charset val="204"/>
      </rPr>
      <t>,TE</t>
    </r>
  </si>
  <si>
    <r>
      <t>Общая T</t>
    </r>
    <r>
      <rPr>
        <vertAlign val="subscript"/>
        <sz val="14"/>
        <color theme="1"/>
        <rFont val="Times New Roman"/>
        <family val="1"/>
        <charset val="204"/>
      </rPr>
      <t>0</t>
    </r>
    <r>
      <rPr>
        <sz val="14"/>
        <color theme="1"/>
        <rFont val="Times New Roman"/>
        <family val="1"/>
        <charset val="204"/>
      </rPr>
      <t>, TE</t>
    </r>
  </si>
  <si>
    <t>Местные двухкабельные линии связи, км</t>
  </si>
  <si>
    <t>Значение четверок (пар) жил для линии II категории</t>
  </si>
  <si>
    <t>Значение четверок (пар) жил для линии IV категории</t>
  </si>
  <si>
    <t>Значение четверок жил (проводов/волокон) для линии I категории</t>
  </si>
  <si>
    <r>
      <t>Пожильная (попроводная/поволоконная) T</t>
    </r>
    <r>
      <rPr>
        <vertAlign val="subscript"/>
        <sz val="14"/>
        <color theme="1"/>
        <rFont val="Times New Roman"/>
        <family val="1"/>
        <charset val="204"/>
      </rPr>
      <t xml:space="preserve">0 </t>
    </r>
    <r>
      <rPr>
        <sz val="14"/>
        <color theme="1"/>
        <rFont val="Times New Roman"/>
        <family val="1"/>
        <charset val="204"/>
      </rPr>
      <t>,TE</t>
    </r>
  </si>
  <si>
    <r>
      <t>Почетверочная T</t>
    </r>
    <r>
      <rPr>
        <vertAlign val="subscript"/>
        <sz val="14"/>
        <color theme="1"/>
        <rFont val="Times New Roman"/>
        <family val="1"/>
        <charset val="204"/>
      </rPr>
      <t xml:space="preserve">0 </t>
    </r>
    <r>
      <rPr>
        <sz val="14"/>
        <color theme="1"/>
        <rFont val="Times New Roman"/>
        <family val="1"/>
        <charset val="204"/>
      </rPr>
      <t>,TE</t>
    </r>
  </si>
  <si>
    <t>Местные воздушные линии связи, км</t>
  </si>
  <si>
    <t>Максимальное плечо, км:</t>
  </si>
  <si>
    <t>Общая длина дорог, км:</t>
  </si>
  <si>
    <t>нет превышения 300 км</t>
  </si>
  <si>
    <t xml:space="preserve">превышение 600 км </t>
  </si>
  <si>
    <r>
      <t>Общая сумма T</t>
    </r>
    <r>
      <rPr>
        <vertAlign val="subscript"/>
        <sz val="14"/>
        <color theme="1"/>
        <rFont val="Times New Roman"/>
        <family val="1"/>
        <charset val="204"/>
      </rPr>
      <t>0</t>
    </r>
    <r>
      <rPr>
        <sz val="14"/>
        <color theme="1"/>
        <rFont val="Times New Roman"/>
        <family val="1"/>
        <charset val="204"/>
      </rPr>
      <t>, ТЕ</t>
    </r>
    <r>
      <rPr>
        <sz val="14"/>
        <color theme="1"/>
        <rFont val="Times New Roman"/>
        <family val="2"/>
        <charset val="204"/>
      </rPr>
      <t xml:space="preserve"> =</t>
    </r>
  </si>
  <si>
    <t>Общее количество баллов регионального центра связи =</t>
  </si>
  <si>
    <t>Группа регионального ЦС - III</t>
  </si>
  <si>
    <r>
      <t>0% от T</t>
    </r>
    <r>
      <rPr>
        <vertAlign val="subscript"/>
        <sz val="14"/>
        <color theme="9" tint="-0.249977111117893"/>
        <rFont val="Times New Roman"/>
        <family val="1"/>
        <charset val="204"/>
      </rPr>
      <t>0</t>
    </r>
    <r>
      <rPr>
        <sz val="14"/>
        <color theme="9" tint="-0.249977111117893"/>
        <rFont val="Times New Roman"/>
        <family val="1"/>
        <charset val="204"/>
      </rPr>
      <t>, ТЕ =</t>
    </r>
  </si>
  <si>
    <t>Обслуживаемые устройства связи</t>
  </si>
  <si>
    <t>Исполнитель</t>
  </si>
  <si>
    <t xml:space="preserve">Измеритель </t>
  </si>
  <si>
    <t>Нормативная численность</t>
  </si>
  <si>
    <t>РЦСС</t>
  </si>
  <si>
    <t>РЦСН</t>
  </si>
  <si>
    <t>Телефонные аппараты</t>
  </si>
  <si>
    <t>АТС 3400/5505</t>
  </si>
  <si>
    <t>Аппарат</t>
  </si>
  <si>
    <r>
      <t>Норма обслуживания, V</t>
    </r>
    <r>
      <rPr>
        <vertAlign val="subscript"/>
        <sz val="14"/>
        <color theme="1"/>
        <rFont val="Times New Roman"/>
        <family val="1"/>
        <charset val="204"/>
      </rPr>
      <t>ч</t>
    </r>
  </si>
  <si>
    <t>АТС 2800/2300</t>
  </si>
  <si>
    <t>Часы первичные/электрические вторичные, шт.</t>
  </si>
  <si>
    <t>Цифровые автоматические телефонные станции в дистанции при НОД</t>
  </si>
  <si>
    <t>Итого по бригаде:</t>
  </si>
  <si>
    <t>Канал</t>
  </si>
  <si>
    <t>Аппаратура цифрового оконечного оборудования с учетом измерения аппаратуры ВЧ телефонирования</t>
  </si>
  <si>
    <t>Аппаратура связи совещаний</t>
  </si>
  <si>
    <t>Распорядительные станции диспетчерской связи (аппаратура ОТС)</t>
  </si>
  <si>
    <t>Комплект</t>
  </si>
  <si>
    <t>АРМ</t>
  </si>
  <si>
    <r>
      <t>Итого списочная численность с учетом  K</t>
    </r>
    <r>
      <rPr>
        <vertAlign val="subscript"/>
        <sz val="14"/>
        <color theme="1"/>
        <rFont val="Times New Roman"/>
        <family val="1"/>
        <charset val="204"/>
      </rPr>
      <t>сп</t>
    </r>
  </si>
  <si>
    <t>Всего по дому связи станции А</t>
  </si>
  <si>
    <r>
      <t>Итого явочная численность, Ч</t>
    </r>
    <r>
      <rPr>
        <vertAlign val="subscript"/>
        <sz val="14"/>
        <color theme="1"/>
        <rFont val="Times New Roman"/>
        <family val="1"/>
        <charset val="204"/>
      </rPr>
      <t>яв</t>
    </r>
  </si>
  <si>
    <t>Центр связи (ст. А)</t>
  </si>
  <si>
    <t>(в месяц)</t>
  </si>
  <si>
    <t>Бригада по обслуживанию устройств АТС и ЛАЗа: РЦСС-1</t>
  </si>
  <si>
    <t>Бригада по обслуживанию устройств ТС: РЦСС-2</t>
  </si>
  <si>
    <r>
      <t>30,55% от T</t>
    </r>
    <r>
      <rPr>
        <vertAlign val="subscript"/>
        <sz val="14"/>
        <color rgb="FFFF0000"/>
        <rFont val="Times New Roman"/>
        <family val="1"/>
        <charset val="204"/>
      </rPr>
      <t>0</t>
    </r>
    <r>
      <rPr>
        <sz val="14"/>
        <color rgb="FFFF0000"/>
        <rFont val="Times New Roman"/>
        <family val="1"/>
        <charset val="204"/>
      </rPr>
      <t>, ТЕ =</t>
    </r>
  </si>
  <si>
    <t>Филиал (ст.В)</t>
  </si>
  <si>
    <t>АТС 1900/1200</t>
  </si>
  <si>
    <t>Автоматизированное рабочее место телеграфиста (телефониста)</t>
  </si>
  <si>
    <t>Станции</t>
  </si>
  <si>
    <t xml:space="preserve">Обслуживаемые устройства связи </t>
  </si>
  <si>
    <t>Норма обслуживания</t>
  </si>
  <si>
    <t>РЦСМ</t>
  </si>
  <si>
    <t>Аппаратура цифрового оконечного оборудования с учентом измерения аппаратуры ВЧ телефонирования</t>
  </si>
  <si>
    <t>Аппаратура связи совещания</t>
  </si>
  <si>
    <t>-</t>
  </si>
  <si>
    <t>Итого по бригаде (явочная/списочная) численность:</t>
  </si>
  <si>
    <t>комплект</t>
  </si>
  <si>
    <t>аппарат</t>
  </si>
  <si>
    <t>номеров</t>
  </si>
  <si>
    <t>коммутатор</t>
  </si>
  <si>
    <t>КЛС</t>
  </si>
  <si>
    <t>пара жил*км</t>
  </si>
  <si>
    <t>КЛМС</t>
  </si>
  <si>
    <t>ВОЛС</t>
  </si>
  <si>
    <t>волокно*км</t>
  </si>
  <si>
    <t>Информационные системы отправления поездов</t>
  </si>
  <si>
    <t>Аппаратура аналогового оконечного оборудования с учентом измерения аппаратуры ВЧ телефонирования</t>
  </si>
  <si>
    <t>Коммутаторы междугородние и местные</t>
  </si>
  <si>
    <t>1 филиал = 2 заместителя</t>
  </si>
  <si>
    <t>1 и 2 группа - глав инженер</t>
  </si>
  <si>
    <t>Коммутатор оперативно-технологической и станционно-распорядительной связи</t>
  </si>
  <si>
    <t>ВЛС до 16 проводов</t>
  </si>
  <si>
    <t>км линий</t>
  </si>
  <si>
    <t>ст. А, Б, С1-С14</t>
  </si>
  <si>
    <t>Переговорно-передающее устройства "пассажир-кассир"</t>
  </si>
  <si>
    <t>Промышленные телевизионные установки</t>
  </si>
  <si>
    <t>100 знакомест</t>
  </si>
  <si>
    <t>установка</t>
  </si>
  <si>
    <t>ст. В, С15-С17, С20-С26</t>
  </si>
  <si>
    <t>Итого явочная численность по всем бригадам ЛПУ:</t>
  </si>
  <si>
    <t>Итого списочная численность по всем бригадам ЛПУ:</t>
  </si>
  <si>
    <t>Всего РЦСН и РЦСМ:</t>
  </si>
  <si>
    <t>РЦСС:</t>
  </si>
  <si>
    <t>Всего по ЛПУ проводной связи:</t>
  </si>
  <si>
    <t>Бригада по обслуживанию устройств ТС: РЦСС-3</t>
  </si>
  <si>
    <t>Бригада по обслуживанию устройств АТС и ЛАЗа: РЦСС-4</t>
  </si>
  <si>
    <t>Бригада по обслуживанию устройств ТС: РЦСС-5</t>
  </si>
  <si>
    <t>С18-С19</t>
  </si>
  <si>
    <t>С27-С31</t>
  </si>
  <si>
    <t>Номер ЛПУ связи</t>
  </si>
  <si>
    <t>Обслуживаемый участок старшего электромеханика (РЦСС), номер и границы обслуживания</t>
  </si>
  <si>
    <t>Списочная численность, чел</t>
  </si>
  <si>
    <t>Устройства ЛПУ, ст. А (ЦУ), Б, С1-С14, С18-С19</t>
  </si>
  <si>
    <t>Устройства ЛПУ, ст. В (Ф), С15-С17, С20-С26, С27-С31</t>
  </si>
  <si>
    <t>Бригада по обслуживанию устройств ЛПУ и обслуживанию и централизованной замене устройств проводной связи: РЦСС-9</t>
  </si>
  <si>
    <t>Бригада по обслуживанию устройств ЛПУ и обслуживанию и централизованной замене устройств проводной связи: РЦСС-10</t>
  </si>
  <si>
    <t>Бригада по обслуживанию устройств ЛПУ и обслуживанию и централизованной замене устройств проводной связи: РЦСС-6</t>
  </si>
  <si>
    <t>Бригада по обслуживанию и централизованной замене устройств проводной связи и волоконно-оптических линий связи: РЦСС-7</t>
  </si>
  <si>
    <t>Бригада по обслуживанию устройств ЛПУ и обслуживанию и централизованной замене устройств проводной связи: РЦСС-8</t>
  </si>
  <si>
    <t>Бригада по обслуживанию, ремонту и замене АУОП: РЦСС-11</t>
  </si>
  <si>
    <t>Бригада по обслуживанию, ремонту и замене АУОП: РЦСС-12</t>
  </si>
  <si>
    <t>Бригада по обслуживанию, ремонту и замене АУОП: РЦСС-13</t>
  </si>
  <si>
    <t>Р/ст. стационар.</t>
  </si>
  <si>
    <t>Радиостанция локомотивная</t>
  </si>
  <si>
    <t>Распорядительные станции</t>
  </si>
  <si>
    <t>Радиостанция стационарная</t>
  </si>
  <si>
    <t>Радиостанция носимая</t>
  </si>
  <si>
    <t>Усилитель 600, 1000 Вт</t>
  </si>
  <si>
    <t>Громкоговорители и звуковые колонки</t>
  </si>
  <si>
    <t>Речевые информаторы</t>
  </si>
  <si>
    <t>Р/ст.</t>
  </si>
  <si>
    <t>Станция</t>
  </si>
  <si>
    <t>Усилитель</t>
  </si>
  <si>
    <t>Аппаратура для регистрации служебных разговоров</t>
  </si>
  <si>
    <t>Устройство</t>
  </si>
  <si>
    <t>Устройства поездной радиосвязи</t>
  </si>
  <si>
    <t>Распорядительные станции поездной радиосвязи</t>
  </si>
  <si>
    <t>Р/ст. локом.</t>
  </si>
  <si>
    <t>Р/ст. носимая</t>
  </si>
  <si>
    <t>Р/ст. станционар.</t>
  </si>
  <si>
    <t xml:space="preserve">Распоряд. станция </t>
  </si>
  <si>
    <t>Р/ст. локомот. "своих"</t>
  </si>
  <si>
    <t xml:space="preserve">Станционная и ремонтно-оперативная радиосвязь </t>
  </si>
  <si>
    <t>Бригада по обслуживанию устройств ПРС: РЦСС - 14</t>
  </si>
  <si>
    <t>Бригада по обслуживанию устройств ПРС и СРС РОРС: РЦСС-15</t>
  </si>
  <si>
    <t>Бригада по ремонту и замене аппаратуры радиосвязи: РЦСС-20</t>
  </si>
  <si>
    <t>Бригада по обслуживанию устройств СРС РОРС: РЦСС-16</t>
  </si>
  <si>
    <t>Бригада по обслуживанию устройств СРС РОРС: РЦСС-17</t>
  </si>
  <si>
    <t>Бригада по обслуживанию устройств СРС РОРС: РЦСС-24</t>
  </si>
  <si>
    <t>Бригада по ремонту и замене аппаратуры радиосвязи: РЦСС-27</t>
  </si>
  <si>
    <t>Бригада по ремонту и замене аппаратуры радиосвязи: РЦСС-30</t>
  </si>
  <si>
    <t>Итого по ЛПУ связи 3:</t>
  </si>
  <si>
    <t>Всего по ЛПУ связи 3:</t>
  </si>
  <si>
    <t>Итого по ЛПУ связи 4:</t>
  </si>
  <si>
    <t>Всего по ЛПУ связи 4:</t>
  </si>
  <si>
    <t>Бригада по обслуживанию устройств СРС РОРС: РЦСС-18</t>
  </si>
  <si>
    <t>Бригада по обслуживанию устройств СРС РОРС: РЦСС-19</t>
  </si>
  <si>
    <t>Бригада по ремонту и замене аппаратуры радиосвязи: РЦСС-21</t>
  </si>
  <si>
    <t>Бригада по ремонту и замене аппаратуры радиосвязи: РЦСС-22</t>
  </si>
  <si>
    <t>Бригада по обслуживанию устройств ПРС: РЦСС - 23</t>
  </si>
  <si>
    <t>Бригада по обслуживанию устройств СРС РОРС: РЦСС-25</t>
  </si>
  <si>
    <t>Бригада по обслуживанию устройств СРС РОРС: РЦСС-26</t>
  </si>
  <si>
    <t>Бригада по ремонту и замене аппаратуры радиосвязи: РЦСС-28</t>
  </si>
  <si>
    <t>Бригада по обслуживанию устройств ПРС и СРС РОРС: РЦСС-29</t>
  </si>
  <si>
    <t>Бригада по обслуживанию устройств ПРС и СРС РОРС: РЦСС-31</t>
  </si>
  <si>
    <t>Бригада по обслуживанию устройств ПРС и СРС РОРС: РЦСС-32</t>
  </si>
  <si>
    <t>Бригада по ремонту и замене аппаратуры радиосвязи: РЦСС-33</t>
  </si>
  <si>
    <t>ст. А (ЦУ), Б, С1-С14, С18-С19</t>
  </si>
  <si>
    <t>ст. В (Ф), С15-С17, С20-С26, С27-С31</t>
  </si>
  <si>
    <t>Бригада по поверке и ремонту измерительных приборов</t>
  </si>
  <si>
    <t>Должность</t>
  </si>
  <si>
    <t>Инженер по поверке и ремонту измерительных приборов</t>
  </si>
  <si>
    <t>Электромеханник по проверке и ремонту измерительных приборов</t>
  </si>
  <si>
    <t>Итого явочная численность</t>
  </si>
  <si>
    <t>Итого списочная численность</t>
  </si>
  <si>
    <t>Всего по бригаде (РЦСС и подчиненных</t>
  </si>
  <si>
    <t>Бригада по измерению кабеля связи, испытанию защитных средств и проверке бесконтактной аппаратуры</t>
  </si>
  <si>
    <t>Электромеханник по испытанию защитных средств и инструмента</t>
  </si>
  <si>
    <t>Электромеханник по измерению и ремонту кабеля связи</t>
  </si>
  <si>
    <t>Электромеханник по проверке и ремонту бесконтактной аппаратуры</t>
  </si>
  <si>
    <t>Электромонтер по испытанию защитных средств и инструмента</t>
  </si>
  <si>
    <t>Электромонтер по измерению и ремонту кабеля связи</t>
  </si>
  <si>
    <t>Электромонтер по проверке и ремонту бесконтактной аппаратуры</t>
  </si>
  <si>
    <t>Прибор</t>
  </si>
  <si>
    <r>
      <t>Жил</t>
    </r>
    <r>
      <rPr>
        <sz val="14"/>
        <color theme="1"/>
        <rFont val="Calibri"/>
        <family val="2"/>
        <charset val="204"/>
      </rPr>
      <t>·</t>
    </r>
    <r>
      <rPr>
        <sz val="14"/>
        <color theme="1"/>
        <rFont val="Times New Roman"/>
        <family val="2"/>
        <charset val="204"/>
      </rPr>
      <t>км</t>
    </r>
  </si>
  <si>
    <t>Жил·км</t>
  </si>
  <si>
    <t>Дистанция</t>
  </si>
  <si>
    <t>Бригада по ведению технической документации и паспортизации устройств связи</t>
  </si>
  <si>
    <t>Инженер по эксплуатации технических средств</t>
  </si>
  <si>
    <t>100 номеров АТС, р/ст.</t>
  </si>
  <si>
    <t>Бригада по повышению надежности и обеспечению бесперебойной работы устройств связи</t>
  </si>
  <si>
    <t>Электромеханник</t>
  </si>
  <si>
    <t>Инженер (диспетчер связи)</t>
  </si>
  <si>
    <t>Дистанция I группы</t>
  </si>
  <si>
    <t>Канал св. 100 номеров АТС, р/ст.</t>
  </si>
  <si>
    <t>1 группа</t>
  </si>
  <si>
    <t>2 группа</t>
  </si>
  <si>
    <t>4 группа</t>
  </si>
  <si>
    <t>Дистанция II группы</t>
  </si>
  <si>
    <t>Численность работников аварийно-восстановительной летучки связи</t>
  </si>
  <si>
    <t>Электромонтер</t>
  </si>
  <si>
    <t>Всего по бригаде (РЦСС и подчиненных)</t>
  </si>
  <si>
    <t>РСЦМ</t>
  </si>
  <si>
    <t>Пара жил магистр. Кабеля</t>
  </si>
  <si>
    <t>Численность работников дистанционной мастерской</t>
  </si>
  <si>
    <t>Электромеханник-электроник</t>
  </si>
  <si>
    <t>Канал св., 100 номеров АТС, р/ст</t>
  </si>
  <si>
    <t>Численность работников участка механизации и автотранспорта</t>
  </si>
  <si>
    <t>Водитель автомобиля</t>
  </si>
  <si>
    <t>Автомобиль</t>
  </si>
  <si>
    <t>Тракторист</t>
  </si>
  <si>
    <t>Трактор</t>
  </si>
  <si>
    <r>
      <t>Провода</t>
    </r>
    <r>
      <rPr>
        <sz val="14"/>
        <color theme="1"/>
        <rFont val="Calibri"/>
        <family val="2"/>
        <charset val="204"/>
      </rPr>
      <t xml:space="preserve">·км </t>
    </r>
    <r>
      <rPr>
        <sz val="14"/>
        <color theme="1"/>
        <rFont val="Times New Roman"/>
        <family val="1"/>
        <charset val="204"/>
      </rPr>
      <t>ВЛС</t>
    </r>
  </si>
  <si>
    <t>Эксплуатационный штат телеграфно-телефонной станции</t>
  </si>
  <si>
    <t>ТТС станции</t>
  </si>
  <si>
    <t>А</t>
  </si>
  <si>
    <t>Телеграфист</t>
  </si>
  <si>
    <t>Телефонист</t>
  </si>
  <si>
    <t>Почтальон</t>
  </si>
  <si>
    <t>АРМ-Т</t>
  </si>
  <si>
    <t>Канал связи</t>
  </si>
  <si>
    <t>ТТС</t>
  </si>
  <si>
    <t>Бригада по обслуживанию устройств СРС РОРС: РЦСС-15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</si>
</sst>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8" x14ac:knownFonts="1">
    <font>
      <sz val="14"/>
      <color theme="1"/>
      <name val="Times New Roman"/>
      <family val="2"/>
      <charset val="204"/>
    </font>
    <font>
      <sz val="12"/>
      <color rgb="FF000000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4"/>
      <color rgb="FFFF0000"/>
      <name val="Times New Roman"/>
      <family val="2"/>
      <charset val="204"/>
    </font>
    <font>
      <sz val="14"/>
      <color rgb="FF000000"/>
      <name val="Times New Roman"/>
      <family val="1"/>
      <charset val="204"/>
    </font>
    <font>
      <sz val="14"/>
      <color theme="1"/>
      <name val="Times New Roman"/>
      <family val="1"/>
      <charset val="204"/>
    </font>
    <font>
      <vertAlign val="subscript"/>
      <sz val="14"/>
      <color theme="1"/>
      <name val="Times New Roman"/>
      <family val="1"/>
      <charset val="204"/>
    </font>
    <font>
      <sz val="14"/>
      <color theme="9" tint="-0.249977111117893"/>
      <name val="Times New Roman"/>
      <family val="2"/>
      <charset val="204"/>
    </font>
    <font>
      <b/>
      <sz val="14"/>
      <color theme="1"/>
      <name val="Times New Roman"/>
      <family val="1"/>
      <charset val="204"/>
    </font>
    <font>
      <sz val="14"/>
      <color theme="9" tint="-0.249977111117893"/>
      <name val="Times New Roman"/>
      <family val="1"/>
      <charset val="204"/>
    </font>
    <font>
      <vertAlign val="subscript"/>
      <sz val="14"/>
      <color theme="9" tint="-0.249977111117893"/>
      <name val="Times New Roman"/>
      <family val="1"/>
      <charset val="204"/>
    </font>
    <font>
      <sz val="14"/>
      <color rgb="FFFF0000"/>
      <name val="Times New Roman"/>
      <family val="1"/>
      <charset val="204"/>
    </font>
    <font>
      <vertAlign val="subscript"/>
      <sz val="14"/>
      <color rgb="FFFF0000"/>
      <name val="Times New Roman"/>
      <family val="1"/>
      <charset val="204"/>
    </font>
    <font>
      <sz val="8"/>
      <name val="Times New Roman"/>
      <family val="2"/>
      <charset val="204"/>
    </font>
    <font>
      <sz val="11"/>
      <color rgb="FF000000"/>
      <name val="Times New Roman"/>
      <family val="1"/>
      <charset val="204"/>
    </font>
    <font>
      <sz val="11"/>
      <color theme="1"/>
      <name val="Times New Roman"/>
      <family val="2"/>
      <charset val="204"/>
    </font>
    <font>
      <sz val="14"/>
      <color theme="1"/>
      <name val="Times New Roman"/>
      <family val="2"/>
      <charset val="204"/>
    </font>
    <font>
      <sz val="14"/>
      <color theme="1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3">
    <xf numFmtId="0" fontId="0" fillId="0" borderId="0" xfId="0"/>
    <xf numFmtId="1" fontId="2" fillId="0" borderId="0" xfId="0" applyNumberFormat="1" applyFont="1" applyBorder="1" applyAlignment="1">
      <alignment horizontal="center" vertical="center"/>
    </xf>
    <xf numFmtId="2" fontId="2" fillId="0" borderId="0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0" fontId="0" fillId="0" borderId="0" xfId="0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0" xfId="0" applyNumberFormat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6" fontId="0" fillId="0" borderId="0" xfId="0" applyNumberFormat="1"/>
    <xf numFmtId="0" fontId="0" fillId="0" borderId="1" xfId="0" applyBorder="1" applyAlignment="1">
      <alignment horizontal="center" vertical="center" wrapText="1"/>
    </xf>
    <xf numFmtId="2" fontId="0" fillId="0" borderId="1" xfId="0" applyNumberForma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Border="1"/>
    <xf numFmtId="0" fontId="5" fillId="0" borderId="0" xfId="0" applyFont="1"/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1" fontId="4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1" fontId="4" fillId="0" borderId="1" xfId="0" applyNumberFormat="1" applyFont="1" applyFill="1" applyBorder="1" applyAlignment="1">
      <alignment horizontal="center" vertical="center"/>
    </xf>
    <xf numFmtId="2" fontId="5" fillId="0" borderId="1" xfId="0" applyNumberFormat="1" applyFont="1" applyFill="1" applyBorder="1" applyAlignment="1">
      <alignment horizontal="center" vertical="center"/>
    </xf>
    <xf numFmtId="1" fontId="4" fillId="0" borderId="0" xfId="0" applyNumberFormat="1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1" fontId="5" fillId="0" borderId="0" xfId="0" applyNumberFormat="1" applyFont="1" applyBorder="1" applyAlignment="1">
      <alignment horizontal="center" vertical="center"/>
    </xf>
    <xf numFmtId="2" fontId="5" fillId="0" borderId="0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0" xfId="0" applyFont="1" applyFill="1" applyBorder="1" applyAlignment="1">
      <alignment vertical="center" wrapText="1"/>
    </xf>
    <xf numFmtId="2" fontId="4" fillId="0" borderId="1" xfId="0" applyNumberFormat="1" applyFont="1" applyBorder="1" applyAlignment="1">
      <alignment horizontal="center" vertical="center"/>
    </xf>
    <xf numFmtId="2" fontId="5" fillId="0" borderId="0" xfId="0" applyNumberFormat="1" applyFont="1"/>
    <xf numFmtId="1" fontId="5" fillId="0" borderId="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1" fontId="5" fillId="2" borderId="1" xfId="0" applyNumberFormat="1" applyFont="1" applyFill="1" applyBorder="1" applyAlignment="1">
      <alignment horizontal="center" vertical="center"/>
    </xf>
    <xf numFmtId="0" fontId="4" fillId="0" borderId="0" xfId="0" applyFont="1" applyBorder="1" applyAlignment="1">
      <alignment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0" borderId="0" xfId="0" applyFont="1"/>
    <xf numFmtId="0" fontId="7" fillId="0" borderId="0" xfId="0" applyFont="1"/>
    <xf numFmtId="0" fontId="8" fillId="0" borderId="0" xfId="0" applyFont="1"/>
    <xf numFmtId="0" fontId="9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164" fontId="0" fillId="0" borderId="0" xfId="0" applyNumberFormat="1"/>
    <xf numFmtId="1" fontId="0" fillId="0" borderId="1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Alignment="1"/>
    <xf numFmtId="1" fontId="0" fillId="0" borderId="6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0" fillId="0" borderId="5" xfId="0" applyBorder="1" applyAlignment="1">
      <alignment vertical="center"/>
    </xf>
    <xf numFmtId="0" fontId="4" fillId="3" borderId="1" xfId="0" applyFon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Fill="1"/>
    <xf numFmtId="0" fontId="0" fillId="0" borderId="0" xfId="0" applyBorder="1" applyAlignment="1">
      <alignment vertical="center"/>
    </xf>
    <xf numFmtId="0" fontId="0" fillId="0" borderId="1" xfId="0" quotePrefix="1" applyBorder="1" applyAlignment="1">
      <alignment horizontal="center" vertical="center" wrapText="1"/>
    </xf>
    <xf numFmtId="0" fontId="0" fillId="0" borderId="6" xfId="0" quotePrefix="1" applyFill="1" applyBorder="1" applyAlignment="1">
      <alignment horizontal="center" vertical="center" wrapText="1"/>
    </xf>
    <xf numFmtId="0" fontId="0" fillId="0" borderId="1" xfId="0" quotePrefix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0" xfId="0" applyFill="1" applyBorder="1"/>
    <xf numFmtId="0" fontId="14" fillId="0" borderId="0" xfId="0" applyFont="1" applyFill="1" applyBorder="1" applyAlignment="1">
      <alignment vertical="center" wrapText="1"/>
    </xf>
    <xf numFmtId="0" fontId="14" fillId="0" borderId="0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14" fillId="0" borderId="7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quotePrefix="1" applyBorder="1" applyAlignment="1">
      <alignment horizontal="center" vertical="center" wrapText="1"/>
    </xf>
    <xf numFmtId="0" fontId="0" fillId="0" borderId="3" xfId="0" quotePrefix="1" applyBorder="1" applyAlignment="1">
      <alignment horizontal="center" vertical="center" wrapText="1"/>
    </xf>
    <xf numFmtId="0" fontId="0" fillId="0" borderId="4" xfId="0" quotePrefix="1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2" xfId="0" applyBorder="1" applyAlignment="1">
      <alignment horizontal="left" vertical="center" wrapText="1"/>
    </xf>
    <xf numFmtId="0" fontId="14" fillId="0" borderId="2" xfId="0" applyFont="1" applyFill="1" applyBorder="1" applyAlignment="1">
      <alignment horizontal="center" vertical="center" wrapText="1"/>
    </xf>
    <xf numFmtId="0" fontId="14" fillId="0" borderId="3" xfId="0" applyFont="1" applyFill="1" applyBorder="1" applyAlignment="1">
      <alignment horizontal="center" vertical="center" wrapText="1"/>
    </xf>
    <xf numFmtId="0" fontId="14" fillId="0" borderId="4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 wrapText="1"/>
    </xf>
    <xf numFmtId="0" fontId="14" fillId="0" borderId="5" xfId="0" applyFont="1" applyFill="1" applyBorder="1" applyAlignment="1">
      <alignment horizontal="center" vertical="center" wrapText="1"/>
    </xf>
    <xf numFmtId="0" fontId="14" fillId="0" borderId="7" xfId="0" applyFont="1" applyFill="1" applyBorder="1" applyAlignment="1">
      <alignment horizontal="center" vertical="center" wrapText="1"/>
    </xf>
    <xf numFmtId="0" fontId="14" fillId="0" borderId="6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8"/>
  <sheetViews>
    <sheetView topLeftCell="A13" zoomScale="55" zoomScaleNormal="55" workbookViewId="0">
      <selection activeCell="I43" sqref="I43"/>
    </sheetView>
  </sheetViews>
  <sheetFormatPr defaultRowHeight="18" x14ac:dyDescent="0.35"/>
  <cols>
    <col min="1" max="1" width="25.6328125" customWidth="1"/>
    <col min="2" max="7" width="10.6328125" customWidth="1"/>
    <col min="8" max="8" width="25.6328125" customWidth="1"/>
    <col min="9" max="13" width="10.6328125" customWidth="1"/>
  </cols>
  <sheetData>
    <row r="1" spans="1:13" ht="54" x14ac:dyDescent="0.35">
      <c r="A1" s="15" t="s">
        <v>0</v>
      </c>
      <c r="B1" s="15" t="s">
        <v>1</v>
      </c>
      <c r="C1" s="15" t="s">
        <v>26</v>
      </c>
      <c r="D1" s="18" t="s">
        <v>27</v>
      </c>
      <c r="E1" s="18" t="s">
        <v>71</v>
      </c>
      <c r="F1" s="18" t="s">
        <v>73</v>
      </c>
      <c r="G1" s="20"/>
      <c r="H1" s="15" t="s">
        <v>0</v>
      </c>
      <c r="I1" s="15" t="s">
        <v>2</v>
      </c>
      <c r="J1" s="15" t="s">
        <v>26</v>
      </c>
      <c r="K1" s="18" t="s">
        <v>27</v>
      </c>
      <c r="L1" s="18" t="s">
        <v>71</v>
      </c>
      <c r="M1" s="18" t="s">
        <v>73</v>
      </c>
    </row>
    <row r="2" spans="1:13" x14ac:dyDescent="0.35">
      <c r="A2" s="21">
        <v>1</v>
      </c>
      <c r="B2" s="21">
        <v>2</v>
      </c>
      <c r="C2" s="21">
        <v>3</v>
      </c>
      <c r="D2" s="18">
        <v>4</v>
      </c>
      <c r="E2" s="18">
        <v>5</v>
      </c>
      <c r="F2" s="18">
        <v>6</v>
      </c>
      <c r="G2" s="20"/>
      <c r="H2" s="21">
        <v>1</v>
      </c>
      <c r="I2" s="21">
        <v>2</v>
      </c>
      <c r="J2" s="18">
        <v>3</v>
      </c>
      <c r="K2" s="18">
        <v>4</v>
      </c>
      <c r="L2" s="18">
        <v>5</v>
      </c>
      <c r="M2" s="18">
        <v>6</v>
      </c>
    </row>
    <row r="3" spans="1:13" x14ac:dyDescent="0.35">
      <c r="A3" s="99" t="s">
        <v>3</v>
      </c>
      <c r="B3" s="100"/>
      <c r="C3" s="100"/>
      <c r="D3" s="100"/>
      <c r="E3" s="100"/>
      <c r="F3" s="101"/>
      <c r="G3" s="20"/>
      <c r="H3" s="99" t="s">
        <v>3</v>
      </c>
      <c r="I3" s="100"/>
      <c r="J3" s="100"/>
      <c r="K3" s="100"/>
      <c r="L3" s="100"/>
      <c r="M3" s="101"/>
    </row>
    <row r="4" spans="1:13" ht="30" customHeight="1" x14ac:dyDescent="0.35">
      <c r="A4" s="102" t="s">
        <v>4</v>
      </c>
      <c r="B4" s="23">
        <v>2800</v>
      </c>
      <c r="C4" s="23">
        <v>256</v>
      </c>
      <c r="D4" s="25">
        <f>B4/C4</f>
        <v>10.9375</v>
      </c>
      <c r="E4" s="25">
        <f>0.28*0.5</f>
        <v>0.14000000000000001</v>
      </c>
      <c r="F4" s="25">
        <f>D4*E4</f>
        <v>1.5312500000000002</v>
      </c>
      <c r="G4" s="20"/>
      <c r="H4" s="102" t="s">
        <v>4</v>
      </c>
      <c r="I4" s="23">
        <v>1900</v>
      </c>
      <c r="J4" s="24">
        <v>256</v>
      </c>
      <c r="K4" s="25">
        <f>I4/J4</f>
        <v>7.421875</v>
      </c>
      <c r="L4" s="25">
        <f>0.2*0.5</f>
        <v>0.1</v>
      </c>
      <c r="M4" s="25">
        <f>K4*L4</f>
        <v>0.7421875</v>
      </c>
    </row>
    <row r="5" spans="1:13" ht="30" customHeight="1" x14ac:dyDescent="0.35">
      <c r="A5" s="102"/>
      <c r="B5" s="24">
        <v>2300</v>
      </c>
      <c r="C5" s="24">
        <v>256</v>
      </c>
      <c r="D5" s="25">
        <f t="shared" ref="D5:D13" si="0">B5/C5</f>
        <v>8.984375</v>
      </c>
      <c r="E5" s="25">
        <v>0.28000000000000003</v>
      </c>
      <c r="F5" s="25">
        <f t="shared" ref="F5:F13" si="1">D5*E5</f>
        <v>2.5156250000000004</v>
      </c>
      <c r="G5" s="20"/>
      <c r="H5" s="102"/>
      <c r="I5" s="24">
        <v>1200</v>
      </c>
      <c r="J5" s="24">
        <v>256</v>
      </c>
      <c r="K5" s="25">
        <f t="shared" ref="K5:K13" si="2">I5/J5</f>
        <v>4.6875</v>
      </c>
      <c r="L5" s="25">
        <v>0.2</v>
      </c>
      <c r="M5" s="25">
        <f t="shared" ref="M5:M13" si="3">K5*L5</f>
        <v>0.9375</v>
      </c>
    </row>
    <row r="6" spans="1:13" ht="54" x14ac:dyDescent="0.35">
      <c r="A6" s="15" t="s">
        <v>5</v>
      </c>
      <c r="B6" s="23">
        <v>540</v>
      </c>
      <c r="C6" s="23">
        <v>30</v>
      </c>
      <c r="D6" s="25">
        <f t="shared" si="0"/>
        <v>18</v>
      </c>
      <c r="E6" s="25">
        <v>0.28000000000000003</v>
      </c>
      <c r="F6" s="25">
        <f t="shared" si="1"/>
        <v>5.0400000000000009</v>
      </c>
      <c r="G6" s="20"/>
      <c r="H6" s="15" t="s">
        <v>5</v>
      </c>
      <c r="I6" s="23">
        <v>250</v>
      </c>
      <c r="J6" s="24">
        <v>30</v>
      </c>
      <c r="K6" s="25">
        <f t="shared" si="2"/>
        <v>8.3333333333333339</v>
      </c>
      <c r="L6" s="25">
        <v>0.2</v>
      </c>
      <c r="M6" s="25">
        <f t="shared" si="3"/>
        <v>1.666666666666667</v>
      </c>
    </row>
    <row r="7" spans="1:13" ht="36" x14ac:dyDescent="0.35">
      <c r="A7" s="15" t="s">
        <v>6</v>
      </c>
      <c r="B7" s="23">
        <v>6000</v>
      </c>
      <c r="C7" s="23">
        <v>256</v>
      </c>
      <c r="D7" s="25">
        <f t="shared" si="0"/>
        <v>23.4375</v>
      </c>
      <c r="E7" s="25">
        <v>0.28000000000000003</v>
      </c>
      <c r="F7" s="25">
        <f t="shared" si="1"/>
        <v>6.5625000000000009</v>
      </c>
      <c r="G7" s="20"/>
      <c r="H7" s="15" t="s">
        <v>6</v>
      </c>
      <c r="I7" s="23">
        <v>2500</v>
      </c>
      <c r="J7" s="24">
        <v>256</v>
      </c>
      <c r="K7" s="25">
        <f t="shared" si="2"/>
        <v>9.765625</v>
      </c>
      <c r="L7" s="25">
        <v>0.2</v>
      </c>
      <c r="M7" s="25">
        <f t="shared" si="3"/>
        <v>1.953125</v>
      </c>
    </row>
    <row r="8" spans="1:13" ht="54" x14ac:dyDescent="0.35">
      <c r="A8" s="15" t="s">
        <v>7</v>
      </c>
      <c r="B8" s="23">
        <v>35</v>
      </c>
      <c r="C8" s="23">
        <v>1</v>
      </c>
      <c r="D8" s="25">
        <f t="shared" si="0"/>
        <v>35</v>
      </c>
      <c r="E8" s="25">
        <v>0.06</v>
      </c>
      <c r="F8" s="25">
        <f t="shared" si="1"/>
        <v>2.1</v>
      </c>
      <c r="G8" s="20"/>
      <c r="H8" s="15" t="s">
        <v>7</v>
      </c>
      <c r="I8" s="23">
        <v>16</v>
      </c>
      <c r="J8" s="24">
        <v>1</v>
      </c>
      <c r="K8" s="25">
        <f t="shared" si="2"/>
        <v>16</v>
      </c>
      <c r="L8" s="25">
        <v>0.06</v>
      </c>
      <c r="M8" s="25">
        <f t="shared" si="3"/>
        <v>0.96</v>
      </c>
    </row>
    <row r="9" spans="1:13" ht="34.950000000000003" customHeight="1" x14ac:dyDescent="0.35">
      <c r="A9" s="102" t="s">
        <v>8</v>
      </c>
      <c r="B9" s="23">
        <v>5</v>
      </c>
      <c r="C9" s="23">
        <v>1</v>
      </c>
      <c r="D9" s="25">
        <f t="shared" si="0"/>
        <v>5</v>
      </c>
      <c r="E9" s="25">
        <v>0.03</v>
      </c>
      <c r="F9" s="25">
        <f t="shared" si="1"/>
        <v>0.15</v>
      </c>
      <c r="G9" s="20"/>
      <c r="H9" s="102" t="s">
        <v>8</v>
      </c>
      <c r="I9" s="23">
        <v>2</v>
      </c>
      <c r="J9" s="24">
        <v>1</v>
      </c>
      <c r="K9" s="25">
        <f t="shared" si="2"/>
        <v>2</v>
      </c>
      <c r="L9" s="25">
        <v>0.03</v>
      </c>
      <c r="M9" s="25">
        <f t="shared" si="3"/>
        <v>0.06</v>
      </c>
    </row>
    <row r="10" spans="1:13" ht="34.950000000000003" customHeight="1" x14ac:dyDescent="0.35">
      <c r="A10" s="102"/>
      <c r="B10" s="24">
        <v>2</v>
      </c>
      <c r="C10" s="24">
        <v>1</v>
      </c>
      <c r="D10" s="25">
        <f t="shared" si="0"/>
        <v>2</v>
      </c>
      <c r="E10" s="25">
        <v>0.03</v>
      </c>
      <c r="F10" s="25">
        <f t="shared" si="1"/>
        <v>0.06</v>
      </c>
      <c r="G10" s="20"/>
      <c r="H10" s="102"/>
      <c r="I10" s="24">
        <v>1</v>
      </c>
      <c r="J10" s="24">
        <v>1</v>
      </c>
      <c r="K10" s="25">
        <f t="shared" si="2"/>
        <v>1</v>
      </c>
      <c r="L10" s="25">
        <v>0.03</v>
      </c>
      <c r="M10" s="25">
        <f t="shared" si="3"/>
        <v>0.03</v>
      </c>
    </row>
    <row r="11" spans="1:13" ht="54" x14ac:dyDescent="0.35">
      <c r="A11" s="15" t="s">
        <v>9</v>
      </c>
      <c r="B11" s="23">
        <v>1200</v>
      </c>
      <c r="C11" s="23">
        <v>10</v>
      </c>
      <c r="D11" s="25">
        <f t="shared" si="0"/>
        <v>120</v>
      </c>
      <c r="E11" s="25">
        <v>0.02</v>
      </c>
      <c r="F11" s="25">
        <f t="shared" si="1"/>
        <v>2.4</v>
      </c>
      <c r="G11" s="20"/>
      <c r="H11" s="15" t="s">
        <v>9</v>
      </c>
      <c r="I11" s="23">
        <v>700</v>
      </c>
      <c r="J11" s="24">
        <v>10</v>
      </c>
      <c r="K11" s="25">
        <f t="shared" si="2"/>
        <v>70</v>
      </c>
      <c r="L11" s="25">
        <v>0.01</v>
      </c>
      <c r="M11" s="25">
        <f t="shared" si="3"/>
        <v>0.70000000000000007</v>
      </c>
    </row>
    <row r="12" spans="1:13" ht="30" customHeight="1" x14ac:dyDescent="0.35">
      <c r="A12" s="102" t="s">
        <v>101</v>
      </c>
      <c r="B12" s="23">
        <v>28</v>
      </c>
      <c r="C12" s="23">
        <v>1</v>
      </c>
      <c r="D12" s="25">
        <f t="shared" si="0"/>
        <v>28</v>
      </c>
      <c r="E12" s="25">
        <v>0.03</v>
      </c>
      <c r="F12" s="25">
        <f t="shared" si="1"/>
        <v>0.84</v>
      </c>
      <c r="G12" s="20"/>
      <c r="H12" s="102" t="s">
        <v>101</v>
      </c>
      <c r="I12" s="23">
        <v>15</v>
      </c>
      <c r="J12" s="24">
        <v>1</v>
      </c>
      <c r="K12" s="25">
        <f t="shared" si="2"/>
        <v>15</v>
      </c>
      <c r="L12" s="25">
        <v>0.03</v>
      </c>
      <c r="M12" s="25">
        <f t="shared" si="3"/>
        <v>0.44999999999999996</v>
      </c>
    </row>
    <row r="13" spans="1:13" ht="30" customHeight="1" x14ac:dyDescent="0.35">
      <c r="A13" s="102"/>
      <c r="B13" s="24">
        <v>175</v>
      </c>
      <c r="C13" s="24">
        <v>10</v>
      </c>
      <c r="D13" s="25">
        <f t="shared" si="0"/>
        <v>17.5</v>
      </c>
      <c r="E13" s="25">
        <v>7.0000000000000007E-2</v>
      </c>
      <c r="F13" s="25">
        <f t="shared" si="1"/>
        <v>1.2250000000000001</v>
      </c>
      <c r="G13" s="20"/>
      <c r="H13" s="102"/>
      <c r="I13" s="24">
        <v>85</v>
      </c>
      <c r="J13" s="24">
        <v>10</v>
      </c>
      <c r="K13" s="25">
        <f t="shared" si="2"/>
        <v>8.5</v>
      </c>
      <c r="L13" s="25">
        <v>7.0000000000000007E-2</v>
      </c>
      <c r="M13" s="25">
        <f t="shared" si="3"/>
        <v>0.59500000000000008</v>
      </c>
    </row>
    <row r="14" spans="1:13" x14ac:dyDescent="0.35">
      <c r="A14" s="99" t="s">
        <v>10</v>
      </c>
      <c r="B14" s="100"/>
      <c r="C14" s="100"/>
      <c r="D14" s="100"/>
      <c r="E14" s="100"/>
      <c r="F14" s="101"/>
      <c r="G14" s="20"/>
      <c r="H14" s="99" t="s">
        <v>10</v>
      </c>
      <c r="I14" s="100"/>
      <c r="J14" s="100"/>
      <c r="K14" s="100"/>
      <c r="L14" s="100"/>
      <c r="M14" s="101"/>
    </row>
    <row r="15" spans="1:13" ht="34.950000000000003" customHeight="1" x14ac:dyDescent="0.35">
      <c r="A15" s="102" t="s">
        <v>11</v>
      </c>
      <c r="B15" s="23">
        <v>0</v>
      </c>
      <c r="C15" s="23">
        <v>10</v>
      </c>
      <c r="D15" s="39">
        <f>B15/C15</f>
        <v>0</v>
      </c>
      <c r="E15" s="39">
        <v>0.1</v>
      </c>
      <c r="F15" s="39">
        <f>D15*E15</f>
        <v>0</v>
      </c>
      <c r="G15" s="20"/>
      <c r="H15" s="102" t="s">
        <v>11</v>
      </c>
      <c r="I15" s="23">
        <v>0</v>
      </c>
      <c r="J15" s="24">
        <v>10</v>
      </c>
      <c r="K15" s="25">
        <f>I15/J15</f>
        <v>0</v>
      </c>
      <c r="L15" s="25">
        <v>0.1</v>
      </c>
      <c r="M15" s="25">
        <f>K15*L15</f>
        <v>0</v>
      </c>
    </row>
    <row r="16" spans="1:13" ht="34.950000000000003" customHeight="1" x14ac:dyDescent="0.35">
      <c r="A16" s="102"/>
      <c r="B16" s="24">
        <v>450</v>
      </c>
      <c r="C16" s="24">
        <v>10</v>
      </c>
      <c r="D16" s="39">
        <f t="shared" ref="D16:D20" si="4">B16/C16</f>
        <v>45</v>
      </c>
      <c r="E16" s="25">
        <v>0.44</v>
      </c>
      <c r="F16" s="39">
        <f t="shared" ref="F16:F20" si="5">D16*E16</f>
        <v>19.8</v>
      </c>
      <c r="G16" s="20"/>
      <c r="H16" s="102"/>
      <c r="I16" s="24">
        <v>280</v>
      </c>
      <c r="J16" s="24">
        <v>10</v>
      </c>
      <c r="K16" s="25">
        <f t="shared" ref="K16:K20" si="6">I16/J16</f>
        <v>28</v>
      </c>
      <c r="L16" s="25">
        <v>0.44</v>
      </c>
      <c r="M16" s="25">
        <f t="shared" ref="M16:M20" si="7">K16*L16</f>
        <v>12.32</v>
      </c>
    </row>
    <row r="17" spans="1:13" ht="54" x14ac:dyDescent="0.35">
      <c r="A17" s="15" t="s">
        <v>12</v>
      </c>
      <c r="B17" s="23">
        <v>95</v>
      </c>
      <c r="C17" s="23">
        <v>10</v>
      </c>
      <c r="D17" s="39">
        <f t="shared" si="4"/>
        <v>9.5</v>
      </c>
      <c r="E17" s="39">
        <v>0.41</v>
      </c>
      <c r="F17" s="39">
        <f t="shared" si="5"/>
        <v>3.8949999999999996</v>
      </c>
      <c r="G17" s="20"/>
      <c r="H17" s="15" t="s">
        <v>12</v>
      </c>
      <c r="I17" s="23">
        <v>44</v>
      </c>
      <c r="J17" s="24">
        <v>10</v>
      </c>
      <c r="K17" s="25">
        <f t="shared" si="6"/>
        <v>4.4000000000000004</v>
      </c>
      <c r="L17" s="25">
        <v>0.41</v>
      </c>
      <c r="M17" s="25">
        <f t="shared" si="7"/>
        <v>1.804</v>
      </c>
    </row>
    <row r="18" spans="1:13" ht="72" x14ac:dyDescent="0.35">
      <c r="A18" s="15" t="s">
        <v>13</v>
      </c>
      <c r="B18" s="23">
        <v>25</v>
      </c>
      <c r="C18" s="23">
        <v>10</v>
      </c>
      <c r="D18" s="39">
        <f t="shared" si="4"/>
        <v>2.5</v>
      </c>
      <c r="E18" s="39">
        <v>0.3</v>
      </c>
      <c r="F18" s="39">
        <f t="shared" si="5"/>
        <v>0.75</v>
      </c>
      <c r="G18" s="20"/>
      <c r="H18" s="15" t="s">
        <v>13</v>
      </c>
      <c r="I18" s="23">
        <v>13</v>
      </c>
      <c r="J18" s="24">
        <v>10</v>
      </c>
      <c r="K18" s="25">
        <f t="shared" si="6"/>
        <v>1.3</v>
      </c>
      <c r="L18" s="25">
        <v>0.3</v>
      </c>
      <c r="M18" s="25">
        <f t="shared" si="7"/>
        <v>0.39</v>
      </c>
    </row>
    <row r="19" spans="1:13" ht="79.95" customHeight="1" x14ac:dyDescent="0.35">
      <c r="A19" s="15" t="s">
        <v>14</v>
      </c>
      <c r="B19" s="23">
        <v>85</v>
      </c>
      <c r="C19" s="23">
        <v>10</v>
      </c>
      <c r="D19" s="39">
        <f t="shared" si="4"/>
        <v>8.5</v>
      </c>
      <c r="E19" s="39">
        <v>0.26</v>
      </c>
      <c r="F19" s="39">
        <f t="shared" si="5"/>
        <v>2.21</v>
      </c>
      <c r="G19" s="20"/>
      <c r="H19" s="15" t="s">
        <v>14</v>
      </c>
      <c r="I19" s="23">
        <v>46</v>
      </c>
      <c r="J19" s="24">
        <v>10</v>
      </c>
      <c r="K19" s="25">
        <f t="shared" si="6"/>
        <v>4.5999999999999996</v>
      </c>
      <c r="L19" s="25">
        <v>0.26</v>
      </c>
      <c r="M19" s="25">
        <f t="shared" si="7"/>
        <v>1.196</v>
      </c>
    </row>
    <row r="20" spans="1:13" ht="36" x14ac:dyDescent="0.35">
      <c r="A20" s="15" t="s">
        <v>15</v>
      </c>
      <c r="B20" s="23">
        <v>53</v>
      </c>
      <c r="C20" s="23">
        <v>1</v>
      </c>
      <c r="D20" s="39">
        <f t="shared" si="4"/>
        <v>53</v>
      </c>
      <c r="E20" s="39">
        <v>0.05</v>
      </c>
      <c r="F20" s="39">
        <f t="shared" si="5"/>
        <v>2.6500000000000004</v>
      </c>
      <c r="G20" s="20"/>
      <c r="H20" s="15" t="s">
        <v>15</v>
      </c>
      <c r="I20" s="23">
        <v>29</v>
      </c>
      <c r="J20" s="24">
        <v>1</v>
      </c>
      <c r="K20" s="25">
        <f t="shared" si="6"/>
        <v>29</v>
      </c>
      <c r="L20" s="25">
        <v>0.05</v>
      </c>
      <c r="M20" s="25">
        <f t="shared" si="7"/>
        <v>1.4500000000000002</v>
      </c>
    </row>
    <row r="21" spans="1:13" x14ac:dyDescent="0.35">
      <c r="A21" s="99" t="s">
        <v>16</v>
      </c>
      <c r="B21" s="100"/>
      <c r="C21" s="100"/>
      <c r="D21" s="100"/>
      <c r="E21" s="100"/>
      <c r="F21" s="101"/>
      <c r="G21" s="20"/>
      <c r="H21" s="99" t="s">
        <v>16</v>
      </c>
      <c r="I21" s="100"/>
      <c r="J21" s="100"/>
      <c r="K21" s="100"/>
      <c r="L21" s="100"/>
      <c r="M21" s="101"/>
    </row>
    <row r="22" spans="1:13" ht="54" x14ac:dyDescent="0.35">
      <c r="A22" s="15" t="s">
        <v>17</v>
      </c>
      <c r="B22" s="23">
        <v>72</v>
      </c>
      <c r="C22" s="23">
        <v>100</v>
      </c>
      <c r="D22" s="39">
        <f>B22/C22</f>
        <v>0.72</v>
      </c>
      <c r="E22" s="39">
        <v>0.06</v>
      </c>
      <c r="F22" s="39">
        <f>D22*E22</f>
        <v>4.3199999999999995E-2</v>
      </c>
      <c r="G22" s="20"/>
      <c r="H22" s="15" t="s">
        <v>17</v>
      </c>
      <c r="I22" s="23">
        <v>40</v>
      </c>
      <c r="J22" s="24">
        <v>100</v>
      </c>
      <c r="K22" s="25">
        <f>I22/J22</f>
        <v>0.4</v>
      </c>
      <c r="L22" s="25">
        <v>0.06</v>
      </c>
      <c r="M22" s="25">
        <f>K22*L22</f>
        <v>2.4E-2</v>
      </c>
    </row>
    <row r="23" spans="1:13" ht="54" x14ac:dyDescent="0.35">
      <c r="A23" s="15" t="s">
        <v>18</v>
      </c>
      <c r="B23" s="23">
        <v>37</v>
      </c>
      <c r="C23" s="23">
        <v>1</v>
      </c>
      <c r="D23" s="39">
        <f t="shared" ref="D23:D24" si="8">B23/C23</f>
        <v>37</v>
      </c>
      <c r="E23" s="39">
        <v>0.03</v>
      </c>
      <c r="F23" s="39">
        <f t="shared" ref="F23:F24" si="9">D23*E23</f>
        <v>1.1099999999999999</v>
      </c>
      <c r="G23" s="20"/>
      <c r="H23" s="15" t="s">
        <v>18</v>
      </c>
      <c r="I23" s="23">
        <v>18</v>
      </c>
      <c r="J23" s="24">
        <v>1</v>
      </c>
      <c r="K23" s="25">
        <f t="shared" ref="K23:K24" si="10">I23/J23</f>
        <v>18</v>
      </c>
      <c r="L23" s="25">
        <v>0.03</v>
      </c>
      <c r="M23" s="25">
        <f t="shared" ref="M23:M24" si="11">K23*L23</f>
        <v>0.54</v>
      </c>
    </row>
    <row r="24" spans="1:13" ht="54" x14ac:dyDescent="0.35">
      <c r="A24" s="15" t="s">
        <v>19</v>
      </c>
      <c r="B24" s="23">
        <v>94</v>
      </c>
      <c r="C24" s="23">
        <v>100</v>
      </c>
      <c r="D24" s="39">
        <f t="shared" si="8"/>
        <v>0.94</v>
      </c>
      <c r="E24" s="39">
        <v>0.16</v>
      </c>
      <c r="F24" s="39">
        <f t="shared" si="9"/>
        <v>0.15040000000000001</v>
      </c>
      <c r="G24" s="20"/>
      <c r="H24" s="15" t="s">
        <v>19</v>
      </c>
      <c r="I24" s="23">
        <v>42</v>
      </c>
      <c r="J24" s="24">
        <v>100</v>
      </c>
      <c r="K24" s="25">
        <f t="shared" si="10"/>
        <v>0.42</v>
      </c>
      <c r="L24" s="25">
        <v>0.16</v>
      </c>
      <c r="M24" s="25">
        <f t="shared" si="11"/>
        <v>6.7199999999999996E-2</v>
      </c>
    </row>
    <row r="25" spans="1:13" x14ac:dyDescent="0.35">
      <c r="A25" s="99" t="s">
        <v>20</v>
      </c>
      <c r="B25" s="100"/>
      <c r="C25" s="100"/>
      <c r="D25" s="100"/>
      <c r="E25" s="100"/>
      <c r="F25" s="101"/>
      <c r="G25" s="20"/>
      <c r="H25" s="99" t="s">
        <v>20</v>
      </c>
      <c r="I25" s="100"/>
      <c r="J25" s="100"/>
      <c r="K25" s="100"/>
      <c r="L25" s="100"/>
      <c r="M25" s="101"/>
    </row>
    <row r="26" spans="1:13" x14ac:dyDescent="0.35">
      <c r="A26" s="15" t="s">
        <v>21</v>
      </c>
      <c r="B26" s="23">
        <v>25</v>
      </c>
      <c r="C26" s="23">
        <v>10</v>
      </c>
      <c r="D26" s="39">
        <f>B26/C26</f>
        <v>2.5</v>
      </c>
      <c r="E26" s="39">
        <v>0.33</v>
      </c>
      <c r="F26" s="39">
        <f>D26*E26</f>
        <v>0.82500000000000007</v>
      </c>
      <c r="G26" s="20"/>
      <c r="H26" s="15" t="s">
        <v>21</v>
      </c>
      <c r="I26" s="27">
        <v>14</v>
      </c>
      <c r="J26" s="24">
        <v>10</v>
      </c>
      <c r="K26" s="25">
        <f>I26/J26</f>
        <v>1.4</v>
      </c>
      <c r="L26" s="25">
        <v>0.33</v>
      </c>
      <c r="M26" s="25">
        <f>K26*L26</f>
        <v>0.46199999999999997</v>
      </c>
    </row>
    <row r="27" spans="1:13" x14ac:dyDescent="0.35">
      <c r="A27" s="15" t="s">
        <v>22</v>
      </c>
      <c r="B27" s="23">
        <v>7</v>
      </c>
      <c r="C27" s="23">
        <v>1</v>
      </c>
      <c r="D27" s="39">
        <f t="shared" ref="D27:D30" si="12">B27/C27</f>
        <v>7</v>
      </c>
      <c r="E27" s="39">
        <v>0.02</v>
      </c>
      <c r="F27" s="39">
        <f t="shared" ref="F27:F30" si="13">D27*E27</f>
        <v>0.14000000000000001</v>
      </c>
      <c r="G27" s="20"/>
      <c r="H27" s="15" t="s">
        <v>22</v>
      </c>
      <c r="I27" s="27">
        <v>4</v>
      </c>
      <c r="J27" s="24">
        <v>1</v>
      </c>
      <c r="K27" s="25">
        <f t="shared" ref="K27:K30" si="14">I27/J27</f>
        <v>4</v>
      </c>
      <c r="L27" s="25">
        <v>0.02</v>
      </c>
      <c r="M27" s="25">
        <f t="shared" ref="M27:M30" si="15">K27*L27</f>
        <v>0.08</v>
      </c>
    </row>
    <row r="28" spans="1:13" ht="36" x14ac:dyDescent="0.35">
      <c r="A28" s="15" t="s">
        <v>23</v>
      </c>
      <c r="B28" s="23">
        <v>16</v>
      </c>
      <c r="C28" s="23">
        <v>1</v>
      </c>
      <c r="D28" s="39">
        <f t="shared" si="12"/>
        <v>16</v>
      </c>
      <c r="E28" s="39">
        <v>0.06</v>
      </c>
      <c r="F28" s="39">
        <f t="shared" si="13"/>
        <v>0.96</v>
      </c>
      <c r="G28" s="20"/>
      <c r="H28" s="15" t="s">
        <v>23</v>
      </c>
      <c r="I28" s="23">
        <v>10</v>
      </c>
      <c r="J28" s="24">
        <v>1</v>
      </c>
      <c r="K28" s="25">
        <f t="shared" si="14"/>
        <v>10</v>
      </c>
      <c r="L28" s="25">
        <v>0.06</v>
      </c>
      <c r="M28" s="25">
        <f t="shared" si="15"/>
        <v>0.6</v>
      </c>
    </row>
    <row r="29" spans="1:13" ht="36" x14ac:dyDescent="0.35">
      <c r="A29" s="15" t="s">
        <v>24</v>
      </c>
      <c r="B29" s="23">
        <v>1</v>
      </c>
      <c r="C29" s="23">
        <v>1</v>
      </c>
      <c r="D29" s="39">
        <f t="shared" si="12"/>
        <v>1</v>
      </c>
      <c r="E29" s="39">
        <v>0.04</v>
      </c>
      <c r="F29" s="39">
        <f t="shared" si="13"/>
        <v>0.04</v>
      </c>
      <c r="G29" s="20"/>
      <c r="H29" s="15" t="s">
        <v>24</v>
      </c>
      <c r="I29" s="23">
        <v>1</v>
      </c>
      <c r="J29" s="24">
        <v>1</v>
      </c>
      <c r="K29" s="25">
        <f t="shared" si="14"/>
        <v>1</v>
      </c>
      <c r="L29" s="25">
        <v>0.04</v>
      </c>
      <c r="M29" s="25">
        <f t="shared" si="15"/>
        <v>0.04</v>
      </c>
    </row>
    <row r="30" spans="1:13" ht="36" x14ac:dyDescent="0.35">
      <c r="A30" s="15" t="s">
        <v>25</v>
      </c>
      <c r="B30" s="23">
        <v>13</v>
      </c>
      <c r="C30" s="23">
        <v>1</v>
      </c>
      <c r="D30" s="39">
        <f t="shared" si="12"/>
        <v>13</v>
      </c>
      <c r="E30" s="39">
        <v>0.48</v>
      </c>
      <c r="F30" s="39">
        <f t="shared" si="13"/>
        <v>6.24</v>
      </c>
      <c r="G30" s="20"/>
      <c r="H30" s="15" t="s">
        <v>25</v>
      </c>
      <c r="I30" s="23">
        <v>5</v>
      </c>
      <c r="J30" s="24">
        <v>1</v>
      </c>
      <c r="K30" s="25">
        <f t="shared" si="14"/>
        <v>5</v>
      </c>
      <c r="L30" s="25">
        <v>0.48</v>
      </c>
      <c r="M30" s="25">
        <f t="shared" si="15"/>
        <v>2.4</v>
      </c>
    </row>
    <row r="31" spans="1:13" x14ac:dyDescent="0.35">
      <c r="A31" s="20"/>
      <c r="B31" s="20"/>
      <c r="C31" s="20"/>
      <c r="D31" s="20"/>
      <c r="E31" s="20" t="s">
        <v>28</v>
      </c>
      <c r="F31" s="40">
        <f>SUM(F26:F30)+SUM(F22:F24)+SUM(F15:F20)+SUM(F4:F13)</f>
        <v>61.237975000000006</v>
      </c>
      <c r="G31" s="20"/>
      <c r="H31" s="20"/>
      <c r="I31" s="20"/>
      <c r="J31" s="20"/>
      <c r="K31" s="20"/>
      <c r="L31" s="20" t="s">
        <v>28</v>
      </c>
      <c r="M31" s="40">
        <f>SUM(M26:M30)+SUM(M22:M24)+SUM(M15:M20)+SUM(M4:M13)</f>
        <v>29.46767916666667</v>
      </c>
    </row>
    <row r="32" spans="1:13" x14ac:dyDescent="0.35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</row>
    <row r="33" spans="1:13" ht="54" x14ac:dyDescent="0.35">
      <c r="A33" s="15" t="s">
        <v>0</v>
      </c>
      <c r="B33" s="15" t="s">
        <v>1</v>
      </c>
      <c r="C33" s="15" t="s">
        <v>26</v>
      </c>
      <c r="D33" s="18" t="s">
        <v>27</v>
      </c>
      <c r="E33" s="18" t="s">
        <v>71</v>
      </c>
      <c r="F33" s="18" t="s">
        <v>73</v>
      </c>
      <c r="G33" s="20"/>
      <c r="H33" s="15" t="s">
        <v>0</v>
      </c>
      <c r="I33" s="15" t="s">
        <v>2</v>
      </c>
      <c r="J33" s="15" t="s">
        <v>26</v>
      </c>
      <c r="K33" s="18" t="s">
        <v>27</v>
      </c>
      <c r="L33" s="18" t="s">
        <v>71</v>
      </c>
      <c r="M33" s="18" t="s">
        <v>73</v>
      </c>
    </row>
    <row r="34" spans="1:13" x14ac:dyDescent="0.35">
      <c r="A34" s="21">
        <v>1</v>
      </c>
      <c r="B34" s="21">
        <v>2</v>
      </c>
      <c r="C34" s="21">
        <v>3</v>
      </c>
      <c r="D34" s="18">
        <v>4</v>
      </c>
      <c r="E34" s="18">
        <v>5</v>
      </c>
      <c r="F34" s="18">
        <v>6</v>
      </c>
      <c r="G34" s="20"/>
      <c r="H34" s="21">
        <v>1</v>
      </c>
      <c r="I34" s="21">
        <v>2</v>
      </c>
      <c r="J34" s="21">
        <v>3</v>
      </c>
      <c r="K34" s="18">
        <v>4</v>
      </c>
      <c r="L34" s="18">
        <v>5</v>
      </c>
      <c r="M34" s="18">
        <v>6</v>
      </c>
    </row>
    <row r="35" spans="1:13" ht="72" x14ac:dyDescent="0.35">
      <c r="A35" s="15" t="s">
        <v>29</v>
      </c>
      <c r="B35" s="18">
        <f>5+3</f>
        <v>8</v>
      </c>
      <c r="C35" s="24">
        <v>30</v>
      </c>
      <c r="D35" s="25">
        <f>B35/C35</f>
        <v>0.26666666666666666</v>
      </c>
      <c r="E35" s="25">
        <v>0.28000000000000003</v>
      </c>
      <c r="F35" s="25">
        <f>D35*E35</f>
        <v>7.4666666666666673E-2</v>
      </c>
      <c r="G35" s="20"/>
      <c r="H35" s="15" t="s">
        <v>29</v>
      </c>
      <c r="I35" s="18">
        <v>5</v>
      </c>
      <c r="J35" s="24">
        <v>30</v>
      </c>
      <c r="K35" s="25">
        <f>I35/J35</f>
        <v>0.16666666666666666</v>
      </c>
      <c r="L35" s="25">
        <v>0.2</v>
      </c>
      <c r="M35" s="25">
        <f>K35*L35</f>
        <v>3.3333333333333333E-2</v>
      </c>
    </row>
    <row r="36" spans="1:13" ht="54" x14ac:dyDescent="0.35">
      <c r="A36" s="15" t="s">
        <v>30</v>
      </c>
      <c r="B36" s="18">
        <v>2</v>
      </c>
      <c r="C36" s="24">
        <v>1</v>
      </c>
      <c r="D36" s="25">
        <f t="shared" ref="D36:D47" si="16">B36/C36</f>
        <v>2</v>
      </c>
      <c r="E36" s="25">
        <v>0.03</v>
      </c>
      <c r="F36" s="25">
        <f t="shared" ref="F36:F47" si="17">D36*E36</f>
        <v>0.06</v>
      </c>
      <c r="G36" s="20"/>
      <c r="H36" s="15" t="s">
        <v>30</v>
      </c>
      <c r="I36" s="18">
        <v>2</v>
      </c>
      <c r="J36" s="24">
        <v>1</v>
      </c>
      <c r="K36" s="25">
        <f t="shared" ref="K36:K47" si="18">I36/J36</f>
        <v>2</v>
      </c>
      <c r="L36" s="25">
        <v>0.03</v>
      </c>
      <c r="M36" s="25">
        <f t="shared" ref="M36:M47" si="19">K36*L36</f>
        <v>0.06</v>
      </c>
    </row>
    <row r="37" spans="1:13" ht="36" x14ac:dyDescent="0.35">
      <c r="A37" s="15" t="s">
        <v>31</v>
      </c>
      <c r="B37" s="18">
        <v>15</v>
      </c>
      <c r="C37" s="24">
        <v>100</v>
      </c>
      <c r="D37" s="25">
        <f t="shared" si="16"/>
        <v>0.15</v>
      </c>
      <c r="E37" s="25">
        <v>0.25</v>
      </c>
      <c r="F37" s="25">
        <f t="shared" si="17"/>
        <v>3.7499999999999999E-2</v>
      </c>
      <c r="G37" s="20"/>
      <c r="H37" s="15" t="s">
        <v>31</v>
      </c>
      <c r="I37" s="18">
        <v>15</v>
      </c>
      <c r="J37" s="24">
        <v>100</v>
      </c>
      <c r="K37" s="25">
        <f t="shared" si="18"/>
        <v>0.15</v>
      </c>
      <c r="L37" s="25">
        <v>0.25</v>
      </c>
      <c r="M37" s="25">
        <f t="shared" si="19"/>
        <v>3.7499999999999999E-2</v>
      </c>
    </row>
    <row r="38" spans="1:13" ht="36" x14ac:dyDescent="0.35">
      <c r="A38" s="36" t="s">
        <v>32</v>
      </c>
      <c r="B38" s="18">
        <v>1</v>
      </c>
      <c r="C38" s="18">
        <v>100</v>
      </c>
      <c r="D38" s="25">
        <f t="shared" si="16"/>
        <v>0.01</v>
      </c>
      <c r="E38" s="25">
        <v>1.1399999999999999</v>
      </c>
      <c r="F38" s="25">
        <f t="shared" si="17"/>
        <v>1.1399999999999999E-2</v>
      </c>
      <c r="G38" s="20"/>
      <c r="H38" s="36" t="s">
        <v>32</v>
      </c>
      <c r="I38" s="18">
        <v>1</v>
      </c>
      <c r="J38" s="18">
        <v>100</v>
      </c>
      <c r="K38" s="25">
        <f t="shared" si="18"/>
        <v>0.01</v>
      </c>
      <c r="L38" s="25">
        <v>1.1399999999999999</v>
      </c>
      <c r="M38" s="25">
        <f t="shared" si="19"/>
        <v>1.1399999999999999E-2</v>
      </c>
    </row>
    <row r="39" spans="1:13" ht="54" x14ac:dyDescent="0.35">
      <c r="A39" s="36" t="s">
        <v>33</v>
      </c>
      <c r="B39" s="18">
        <v>2</v>
      </c>
      <c r="C39" s="18">
        <v>1</v>
      </c>
      <c r="D39" s="25">
        <f t="shared" si="16"/>
        <v>2</v>
      </c>
      <c r="E39" s="25">
        <v>0.1</v>
      </c>
      <c r="F39" s="25">
        <f t="shared" si="17"/>
        <v>0.2</v>
      </c>
      <c r="G39" s="20"/>
      <c r="H39" s="36" t="s">
        <v>33</v>
      </c>
      <c r="I39" s="18">
        <v>2</v>
      </c>
      <c r="J39" s="18">
        <v>1</v>
      </c>
      <c r="K39" s="25">
        <f t="shared" si="18"/>
        <v>2</v>
      </c>
      <c r="L39" s="25">
        <v>0.1</v>
      </c>
      <c r="M39" s="25">
        <f t="shared" si="19"/>
        <v>0.2</v>
      </c>
    </row>
    <row r="40" spans="1:13" ht="36" x14ac:dyDescent="0.35">
      <c r="A40" s="15" t="s">
        <v>34</v>
      </c>
      <c r="B40" s="18">
        <v>1</v>
      </c>
      <c r="C40" s="24">
        <v>10</v>
      </c>
      <c r="D40" s="25">
        <f t="shared" si="16"/>
        <v>0.1</v>
      </c>
      <c r="E40" s="25">
        <v>0.41</v>
      </c>
      <c r="F40" s="25">
        <f t="shared" si="17"/>
        <v>4.1000000000000002E-2</v>
      </c>
      <c r="G40" s="20"/>
      <c r="H40" s="15" t="s">
        <v>34</v>
      </c>
      <c r="I40" s="18">
        <v>1</v>
      </c>
      <c r="J40" s="24">
        <v>10</v>
      </c>
      <c r="K40" s="25">
        <f t="shared" si="18"/>
        <v>0.1</v>
      </c>
      <c r="L40" s="25">
        <v>0.41</v>
      </c>
      <c r="M40" s="25">
        <f t="shared" si="19"/>
        <v>4.1000000000000002E-2</v>
      </c>
    </row>
    <row r="41" spans="1:13" ht="36" x14ac:dyDescent="0.35">
      <c r="A41" s="15" t="s">
        <v>35</v>
      </c>
      <c r="B41" s="18">
        <v>1</v>
      </c>
      <c r="C41" s="24">
        <v>10</v>
      </c>
      <c r="D41" s="25">
        <f t="shared" si="16"/>
        <v>0.1</v>
      </c>
      <c r="E41" s="25">
        <v>0.3</v>
      </c>
      <c r="F41" s="25">
        <f t="shared" si="17"/>
        <v>0.03</v>
      </c>
      <c r="G41" s="20"/>
      <c r="H41" s="15" t="s">
        <v>35</v>
      </c>
      <c r="I41" s="18">
        <v>1</v>
      </c>
      <c r="J41" s="24">
        <v>10</v>
      </c>
      <c r="K41" s="25">
        <f t="shared" si="18"/>
        <v>0.1</v>
      </c>
      <c r="L41" s="25">
        <v>0.3</v>
      </c>
      <c r="M41" s="25">
        <f t="shared" si="19"/>
        <v>0.03</v>
      </c>
    </row>
    <row r="42" spans="1:13" ht="54" x14ac:dyDescent="0.35">
      <c r="A42" s="15" t="s">
        <v>36</v>
      </c>
      <c r="B42" s="18">
        <v>7</v>
      </c>
      <c r="C42" s="24">
        <v>1</v>
      </c>
      <c r="D42" s="25">
        <f t="shared" si="16"/>
        <v>7</v>
      </c>
      <c r="E42" s="25">
        <v>7.0000000000000007E-2</v>
      </c>
      <c r="F42" s="25">
        <f t="shared" si="17"/>
        <v>0.49000000000000005</v>
      </c>
      <c r="G42" s="20"/>
      <c r="H42" s="15" t="s">
        <v>36</v>
      </c>
      <c r="I42" s="18">
        <v>4</v>
      </c>
      <c r="J42" s="24">
        <v>1</v>
      </c>
      <c r="K42" s="25">
        <f t="shared" si="18"/>
        <v>4</v>
      </c>
      <c r="L42" s="25">
        <v>7.0000000000000007E-2</v>
      </c>
      <c r="M42" s="25">
        <f t="shared" si="19"/>
        <v>0.28000000000000003</v>
      </c>
    </row>
    <row r="43" spans="1:13" ht="36" x14ac:dyDescent="0.35">
      <c r="A43" s="15" t="s">
        <v>46</v>
      </c>
      <c r="B43" s="18">
        <v>2</v>
      </c>
      <c r="C43" s="41">
        <v>1</v>
      </c>
      <c r="D43" s="25">
        <f t="shared" si="16"/>
        <v>2</v>
      </c>
      <c r="E43" s="18">
        <v>0.08</v>
      </c>
      <c r="F43" s="25">
        <f t="shared" si="17"/>
        <v>0.16</v>
      </c>
      <c r="G43" s="20"/>
      <c r="H43" s="15" t="s">
        <v>46</v>
      </c>
      <c r="I43" s="18">
        <v>2</v>
      </c>
      <c r="J43" s="41">
        <v>1</v>
      </c>
      <c r="K43" s="25">
        <f t="shared" si="18"/>
        <v>2</v>
      </c>
      <c r="L43" s="18">
        <v>0.08</v>
      </c>
      <c r="M43" s="25">
        <f t="shared" si="19"/>
        <v>0.16</v>
      </c>
    </row>
    <row r="44" spans="1:13" ht="36" x14ac:dyDescent="0.35">
      <c r="A44" s="15" t="s">
        <v>47</v>
      </c>
      <c r="B44" s="18">
        <v>0</v>
      </c>
      <c r="C44" s="41">
        <v>1</v>
      </c>
      <c r="D44" s="25">
        <f t="shared" si="16"/>
        <v>0</v>
      </c>
      <c r="E44" s="18">
        <v>0.08</v>
      </c>
      <c r="F44" s="25">
        <f t="shared" si="17"/>
        <v>0</v>
      </c>
      <c r="G44" s="20"/>
      <c r="H44" s="15" t="s">
        <v>47</v>
      </c>
      <c r="I44" s="18">
        <v>0</v>
      </c>
      <c r="J44" s="41">
        <v>1</v>
      </c>
      <c r="K44" s="25">
        <f t="shared" si="18"/>
        <v>0</v>
      </c>
      <c r="L44" s="18">
        <v>0.08</v>
      </c>
      <c r="M44" s="25">
        <f t="shared" si="19"/>
        <v>0</v>
      </c>
    </row>
    <row r="45" spans="1:13" x14ac:dyDescent="0.35">
      <c r="A45" s="36" t="s">
        <v>49</v>
      </c>
      <c r="B45" s="18">
        <f>INT(4000/120)</f>
        <v>33</v>
      </c>
      <c r="C45" s="41">
        <v>10</v>
      </c>
      <c r="D45" s="25">
        <f t="shared" si="16"/>
        <v>3.3</v>
      </c>
      <c r="E45" s="18">
        <v>0.03</v>
      </c>
      <c r="F45" s="25">
        <f t="shared" si="17"/>
        <v>9.8999999999999991E-2</v>
      </c>
      <c r="G45" s="20"/>
      <c r="H45" s="36" t="s">
        <v>49</v>
      </c>
      <c r="I45" s="18">
        <f>INT(4000/120)</f>
        <v>33</v>
      </c>
      <c r="J45" s="41">
        <v>10</v>
      </c>
      <c r="K45" s="25">
        <f t="shared" si="18"/>
        <v>3.3</v>
      </c>
      <c r="L45" s="18">
        <v>0.03</v>
      </c>
      <c r="M45" s="25">
        <f t="shared" si="19"/>
        <v>9.8999999999999991E-2</v>
      </c>
    </row>
    <row r="46" spans="1:13" ht="54" x14ac:dyDescent="0.35">
      <c r="A46" s="36" t="s">
        <v>50</v>
      </c>
      <c r="B46" s="18">
        <f>INT(4000/120)+(120/2)</f>
        <v>93</v>
      </c>
      <c r="C46" s="41">
        <v>10</v>
      </c>
      <c r="D46" s="25">
        <f t="shared" si="16"/>
        <v>9.3000000000000007</v>
      </c>
      <c r="E46" s="18">
        <v>0.03</v>
      </c>
      <c r="F46" s="25">
        <f t="shared" si="17"/>
        <v>0.27900000000000003</v>
      </c>
      <c r="G46" s="20"/>
      <c r="H46" s="36" t="s">
        <v>50</v>
      </c>
      <c r="I46" s="18">
        <f>INT(4000/120)+(120/2)</f>
        <v>93</v>
      </c>
      <c r="J46" s="41">
        <v>10</v>
      </c>
      <c r="K46" s="25">
        <f t="shared" si="18"/>
        <v>9.3000000000000007</v>
      </c>
      <c r="L46" s="18">
        <v>0.03</v>
      </c>
      <c r="M46" s="25">
        <f t="shared" si="19"/>
        <v>0.27900000000000003</v>
      </c>
    </row>
    <row r="47" spans="1:13" ht="36" x14ac:dyDescent="0.35">
      <c r="A47" s="36" t="s">
        <v>48</v>
      </c>
      <c r="B47" s="18">
        <v>40</v>
      </c>
      <c r="C47" s="41">
        <v>10</v>
      </c>
      <c r="D47" s="25">
        <f t="shared" si="16"/>
        <v>4</v>
      </c>
      <c r="E47" s="18">
        <v>0.15</v>
      </c>
      <c r="F47" s="25">
        <f t="shared" si="17"/>
        <v>0.6</v>
      </c>
      <c r="G47" s="20"/>
      <c r="H47" s="36" t="s">
        <v>48</v>
      </c>
      <c r="I47" s="18">
        <v>40</v>
      </c>
      <c r="J47" s="41">
        <v>10</v>
      </c>
      <c r="K47" s="25">
        <f t="shared" si="18"/>
        <v>4</v>
      </c>
      <c r="L47" s="18">
        <v>0.15</v>
      </c>
      <c r="M47" s="25">
        <f t="shared" si="19"/>
        <v>0.6</v>
      </c>
    </row>
    <row r="48" spans="1:13" x14ac:dyDescent="0.35">
      <c r="A48" s="20"/>
      <c r="B48" s="20"/>
      <c r="C48" s="20"/>
      <c r="D48" s="20"/>
      <c r="E48" s="20" t="s">
        <v>28</v>
      </c>
      <c r="F48" s="40">
        <f>SUM(F35:F47)</f>
        <v>2.0825666666666667</v>
      </c>
      <c r="G48" s="20"/>
      <c r="H48" s="20"/>
      <c r="I48" s="20"/>
      <c r="J48" s="20"/>
      <c r="K48" s="20"/>
      <c r="L48" s="20" t="s">
        <v>28</v>
      </c>
      <c r="M48" s="40">
        <f>SUM(M35:M47)</f>
        <v>1.8312333333333335</v>
      </c>
    </row>
  </sheetData>
  <mergeCells count="16">
    <mergeCell ref="H3:M3"/>
    <mergeCell ref="H14:M14"/>
    <mergeCell ref="H25:M25"/>
    <mergeCell ref="H21:M21"/>
    <mergeCell ref="A3:F3"/>
    <mergeCell ref="A14:F14"/>
    <mergeCell ref="A25:F25"/>
    <mergeCell ref="A21:F21"/>
    <mergeCell ref="A4:A5"/>
    <mergeCell ref="A9:A10"/>
    <mergeCell ref="A12:A13"/>
    <mergeCell ref="A15:A16"/>
    <mergeCell ref="H4:H5"/>
    <mergeCell ref="H9:H10"/>
    <mergeCell ref="H12:H13"/>
    <mergeCell ref="H15:H16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4"/>
  <sheetViews>
    <sheetView tabSelected="1" topLeftCell="A7" zoomScale="55" zoomScaleNormal="55" workbookViewId="0">
      <selection activeCell="H19" sqref="H19"/>
    </sheetView>
  </sheetViews>
  <sheetFormatPr defaultRowHeight="18" x14ac:dyDescent="0.35"/>
  <cols>
    <col min="1" max="1" width="25.6328125" customWidth="1"/>
    <col min="2" max="6" width="10.6328125" customWidth="1"/>
    <col min="11" max="11" width="10.6328125" customWidth="1"/>
    <col min="12" max="12" width="35.6328125" customWidth="1"/>
    <col min="13" max="19" width="10.6328125" customWidth="1"/>
    <col min="22" max="22" width="25.6328125" customWidth="1"/>
    <col min="23" max="29" width="10.6328125" customWidth="1"/>
  </cols>
  <sheetData>
    <row r="1" spans="1:30" ht="72" x14ac:dyDescent="0.35">
      <c r="A1" s="102" t="s">
        <v>0</v>
      </c>
      <c r="B1" s="102"/>
      <c r="C1" s="15" t="s">
        <v>40</v>
      </c>
      <c r="D1" s="15" t="s">
        <v>26</v>
      </c>
      <c r="E1" s="18" t="s">
        <v>27</v>
      </c>
      <c r="F1" s="18" t="s">
        <v>71</v>
      </c>
      <c r="G1" s="18" t="s">
        <v>73</v>
      </c>
      <c r="H1" s="16" t="s">
        <v>39</v>
      </c>
      <c r="I1" s="16" t="s">
        <v>74</v>
      </c>
      <c r="J1" s="20"/>
      <c r="K1" s="20"/>
      <c r="L1" s="15" t="s">
        <v>0</v>
      </c>
      <c r="M1" s="15" t="s">
        <v>41</v>
      </c>
      <c r="N1" s="15" t="s">
        <v>26</v>
      </c>
      <c r="O1" s="18" t="s">
        <v>27</v>
      </c>
      <c r="P1" s="18" t="s">
        <v>71</v>
      </c>
      <c r="Q1" s="18" t="s">
        <v>73</v>
      </c>
      <c r="R1" s="16" t="s">
        <v>39</v>
      </c>
      <c r="S1" s="16" t="s">
        <v>74</v>
      </c>
      <c r="T1" s="20"/>
      <c r="U1" s="20"/>
      <c r="V1" s="102" t="s">
        <v>0</v>
      </c>
      <c r="W1" s="102"/>
      <c r="X1" s="15" t="s">
        <v>43</v>
      </c>
      <c r="Y1" s="15" t="s">
        <v>26</v>
      </c>
      <c r="Z1" s="18" t="s">
        <v>27</v>
      </c>
      <c r="AA1" s="18" t="s">
        <v>71</v>
      </c>
      <c r="AB1" s="18" t="s">
        <v>73</v>
      </c>
      <c r="AC1" s="16" t="s">
        <v>39</v>
      </c>
      <c r="AD1" s="16" t="s">
        <v>74</v>
      </c>
    </row>
    <row r="2" spans="1:30" x14ac:dyDescent="0.35">
      <c r="A2" s="103">
        <v>1</v>
      </c>
      <c r="B2" s="103"/>
      <c r="C2" s="21">
        <v>2</v>
      </c>
      <c r="D2" s="18">
        <v>3</v>
      </c>
      <c r="E2" s="18">
        <v>4</v>
      </c>
      <c r="F2" s="18">
        <v>5</v>
      </c>
      <c r="G2" s="18">
        <v>6</v>
      </c>
      <c r="H2" s="18">
        <v>7</v>
      </c>
      <c r="I2" s="18">
        <v>8</v>
      </c>
      <c r="J2" s="20"/>
      <c r="K2" s="20"/>
      <c r="L2" s="21">
        <v>1</v>
      </c>
      <c r="M2" s="21">
        <v>2</v>
      </c>
      <c r="N2" s="18">
        <v>3</v>
      </c>
      <c r="O2" s="18">
        <v>4</v>
      </c>
      <c r="P2" s="18">
        <v>5</v>
      </c>
      <c r="Q2" s="18">
        <v>6</v>
      </c>
      <c r="R2" s="18">
        <v>7</v>
      </c>
      <c r="S2" s="18">
        <v>8</v>
      </c>
      <c r="T2" s="20"/>
      <c r="U2" s="20"/>
      <c r="V2" s="103">
        <v>1</v>
      </c>
      <c r="W2" s="103"/>
      <c r="X2" s="21">
        <v>2</v>
      </c>
      <c r="Y2" s="18">
        <v>3</v>
      </c>
      <c r="Z2" s="18">
        <v>4</v>
      </c>
      <c r="AA2" s="18">
        <v>5</v>
      </c>
      <c r="AB2" s="18">
        <v>6</v>
      </c>
      <c r="AC2" s="18">
        <v>7</v>
      </c>
      <c r="AD2" s="18">
        <v>8</v>
      </c>
    </row>
    <row r="3" spans="1:30" ht="55.05" customHeight="1" x14ac:dyDescent="0.35">
      <c r="A3" s="104" t="s">
        <v>29</v>
      </c>
      <c r="B3" s="105"/>
      <c r="C3" s="23">
        <v>5</v>
      </c>
      <c r="D3" s="24">
        <v>30</v>
      </c>
      <c r="E3" s="25">
        <f t="shared" ref="E3:E19" si="0">C3/D3</f>
        <v>0.16666666666666666</v>
      </c>
      <c r="F3" s="25">
        <v>0.2</v>
      </c>
      <c r="G3" s="25">
        <f>E3*F3</f>
        <v>3.3333333333333333E-2</v>
      </c>
      <c r="H3" s="18">
        <v>15</v>
      </c>
      <c r="I3" s="25">
        <f>G3*H3</f>
        <v>0.5</v>
      </c>
      <c r="J3" s="20"/>
      <c r="K3" s="20"/>
      <c r="L3" s="15" t="s">
        <v>29</v>
      </c>
      <c r="M3" s="23">
        <v>4</v>
      </c>
      <c r="N3" s="24">
        <v>30</v>
      </c>
      <c r="O3" s="25">
        <f t="shared" ref="O3:O14" si="1">M3/N3</f>
        <v>0.13333333333333333</v>
      </c>
      <c r="P3" s="25">
        <v>0.2</v>
      </c>
      <c r="Q3" s="25">
        <f>O3*P3</f>
        <v>2.6666666666666668E-2</v>
      </c>
      <c r="R3" s="18">
        <v>10</v>
      </c>
      <c r="S3" s="25">
        <f t="shared" ref="S3:S15" si="2">Q3*R3</f>
        <v>0.26666666666666666</v>
      </c>
      <c r="T3" s="20"/>
      <c r="U3" s="20"/>
      <c r="V3" s="102" t="s">
        <v>42</v>
      </c>
      <c r="W3" s="102"/>
      <c r="X3" s="23">
        <v>2</v>
      </c>
      <c r="Y3" s="24">
        <v>30</v>
      </c>
      <c r="Z3" s="25">
        <f t="shared" ref="Z3:Z18" si="3">X3/Y3</f>
        <v>6.6666666666666666E-2</v>
      </c>
      <c r="AA3" s="25">
        <v>0.19</v>
      </c>
      <c r="AB3" s="25">
        <f>Z3*AA3</f>
        <v>1.2666666666666666E-2</v>
      </c>
      <c r="AC3" s="18">
        <v>7</v>
      </c>
      <c r="AD3" s="25">
        <f t="shared" ref="AD3:AD18" si="4">AB3*AC3</f>
        <v>8.8666666666666671E-2</v>
      </c>
    </row>
    <row r="4" spans="1:30" ht="49.95" customHeight="1" x14ac:dyDescent="0.35">
      <c r="A4" s="104" t="s">
        <v>30</v>
      </c>
      <c r="B4" s="105"/>
      <c r="C4" s="23">
        <v>2</v>
      </c>
      <c r="D4" s="24">
        <v>1</v>
      </c>
      <c r="E4" s="25">
        <f t="shared" si="0"/>
        <v>2</v>
      </c>
      <c r="F4" s="25">
        <v>0.03</v>
      </c>
      <c r="G4" s="25">
        <f>E4*F4</f>
        <v>0.06</v>
      </c>
      <c r="H4" s="18">
        <v>15</v>
      </c>
      <c r="I4" s="25">
        <f t="shared" ref="I4:I19" si="5">G4*H4</f>
        <v>0.89999999999999991</v>
      </c>
      <c r="J4" s="20"/>
      <c r="K4" s="20"/>
      <c r="L4" s="15" t="s">
        <v>30</v>
      </c>
      <c r="M4" s="23">
        <v>2</v>
      </c>
      <c r="N4" s="24">
        <v>1</v>
      </c>
      <c r="O4" s="25">
        <f t="shared" si="1"/>
        <v>2</v>
      </c>
      <c r="P4" s="25">
        <v>0.03</v>
      </c>
      <c r="Q4" s="25">
        <f>O4*P4</f>
        <v>0.06</v>
      </c>
      <c r="R4" s="18">
        <v>10</v>
      </c>
      <c r="S4" s="25">
        <f t="shared" si="2"/>
        <v>0.6</v>
      </c>
      <c r="T4" s="20"/>
      <c r="U4" s="20"/>
      <c r="V4" s="102" t="s">
        <v>30</v>
      </c>
      <c r="W4" s="102"/>
      <c r="X4" s="23">
        <v>2</v>
      </c>
      <c r="Y4" s="24">
        <v>1</v>
      </c>
      <c r="Z4" s="25">
        <f t="shared" si="3"/>
        <v>2</v>
      </c>
      <c r="AA4" s="25">
        <v>0.03</v>
      </c>
      <c r="AB4" s="25">
        <f>Z4*AA4</f>
        <v>0.06</v>
      </c>
      <c r="AC4" s="18">
        <v>7</v>
      </c>
      <c r="AD4" s="25">
        <f t="shared" si="4"/>
        <v>0.42</v>
      </c>
    </row>
    <row r="5" spans="1:30" ht="49.95" customHeight="1" x14ac:dyDescent="0.35">
      <c r="A5" s="104" t="s">
        <v>31</v>
      </c>
      <c r="B5" s="105"/>
      <c r="C5" s="23">
        <v>15</v>
      </c>
      <c r="D5" s="24">
        <v>100</v>
      </c>
      <c r="E5" s="25">
        <f t="shared" si="0"/>
        <v>0.15</v>
      </c>
      <c r="F5" s="25">
        <v>0.25</v>
      </c>
      <c r="G5" s="25">
        <f>E5*F5</f>
        <v>3.7499999999999999E-2</v>
      </c>
      <c r="H5" s="18">
        <v>15</v>
      </c>
      <c r="I5" s="25">
        <f>G5*H5</f>
        <v>0.5625</v>
      </c>
      <c r="J5" s="20"/>
      <c r="K5" s="20"/>
      <c r="L5" s="15" t="s">
        <v>31</v>
      </c>
      <c r="M5" s="23">
        <v>12</v>
      </c>
      <c r="N5" s="24">
        <v>100</v>
      </c>
      <c r="O5" s="25">
        <f t="shared" si="1"/>
        <v>0.12</v>
      </c>
      <c r="P5" s="25">
        <v>0.25</v>
      </c>
      <c r="Q5" s="25">
        <f>O5*P5</f>
        <v>0.03</v>
      </c>
      <c r="R5" s="18">
        <v>10</v>
      </c>
      <c r="S5" s="25">
        <f t="shared" si="2"/>
        <v>0.3</v>
      </c>
      <c r="T5" s="20"/>
      <c r="U5" s="20"/>
      <c r="V5" s="102" t="s">
        <v>31</v>
      </c>
      <c r="W5" s="102"/>
      <c r="X5" s="23">
        <v>5</v>
      </c>
      <c r="Y5" s="24">
        <v>100</v>
      </c>
      <c r="Z5" s="25">
        <f t="shared" si="3"/>
        <v>0.05</v>
      </c>
      <c r="AA5" s="25">
        <v>0.25</v>
      </c>
      <c r="AB5" s="25">
        <f>Z5*AA5</f>
        <v>1.2500000000000001E-2</v>
      </c>
      <c r="AC5" s="18">
        <v>7</v>
      </c>
      <c r="AD5" s="25">
        <f t="shared" si="4"/>
        <v>8.7500000000000008E-2</v>
      </c>
    </row>
    <row r="6" spans="1:30" ht="49.95" customHeight="1" x14ac:dyDescent="0.35">
      <c r="A6" s="110" t="s">
        <v>32</v>
      </c>
      <c r="B6" s="111"/>
      <c r="C6" s="18">
        <v>1</v>
      </c>
      <c r="D6" s="18">
        <v>100</v>
      </c>
      <c r="E6" s="25">
        <f t="shared" si="0"/>
        <v>0.01</v>
      </c>
      <c r="F6" s="25">
        <v>1.1399999999999999</v>
      </c>
      <c r="G6" s="25">
        <f t="shared" ref="G6:G12" si="6">E6*F6</f>
        <v>1.1399999999999999E-2</v>
      </c>
      <c r="H6" s="18">
        <v>15</v>
      </c>
      <c r="I6" s="25">
        <f t="shared" si="5"/>
        <v>0.17099999999999999</v>
      </c>
      <c r="J6" s="20"/>
      <c r="K6" s="20"/>
      <c r="L6" s="36" t="s">
        <v>32</v>
      </c>
      <c r="M6" s="18">
        <v>1</v>
      </c>
      <c r="N6" s="18">
        <v>100</v>
      </c>
      <c r="O6" s="25">
        <f t="shared" si="1"/>
        <v>0.01</v>
      </c>
      <c r="P6" s="25">
        <v>1.1200000000000001</v>
      </c>
      <c r="Q6" s="25">
        <f t="shared" ref="Q6:Q10" si="7">O6*P6</f>
        <v>1.1200000000000002E-2</v>
      </c>
      <c r="R6" s="18">
        <v>10</v>
      </c>
      <c r="S6" s="25">
        <f t="shared" si="2"/>
        <v>0.11200000000000002</v>
      </c>
      <c r="T6" s="20"/>
      <c r="U6" s="20"/>
      <c r="V6" s="112" t="s">
        <v>32</v>
      </c>
      <c r="W6" s="112"/>
      <c r="X6" s="18">
        <v>1</v>
      </c>
      <c r="Y6" s="18">
        <v>100</v>
      </c>
      <c r="Z6" s="25">
        <f t="shared" si="3"/>
        <v>0.01</v>
      </c>
      <c r="AA6" s="25">
        <v>1.1100000000000001</v>
      </c>
      <c r="AB6" s="25">
        <f t="shared" ref="AB6:AB10" si="8">Z6*AA6</f>
        <v>1.11E-2</v>
      </c>
      <c r="AC6" s="18">
        <v>7</v>
      </c>
      <c r="AD6" s="25">
        <f t="shared" si="4"/>
        <v>7.7700000000000005E-2</v>
      </c>
    </row>
    <row r="7" spans="1:30" ht="49.95" customHeight="1" x14ac:dyDescent="0.35">
      <c r="A7" s="110" t="s">
        <v>33</v>
      </c>
      <c r="B7" s="111"/>
      <c r="C7" s="18">
        <v>2</v>
      </c>
      <c r="D7" s="18">
        <v>1</v>
      </c>
      <c r="E7" s="25">
        <f t="shared" si="0"/>
        <v>2</v>
      </c>
      <c r="F7" s="25">
        <v>0.1</v>
      </c>
      <c r="G7" s="25">
        <f t="shared" si="6"/>
        <v>0.2</v>
      </c>
      <c r="H7" s="18">
        <v>15</v>
      </c>
      <c r="I7" s="25">
        <f t="shared" si="5"/>
        <v>3</v>
      </c>
      <c r="J7" s="20"/>
      <c r="K7" s="20"/>
      <c r="L7" s="36" t="s">
        <v>33</v>
      </c>
      <c r="M7" s="18">
        <v>2</v>
      </c>
      <c r="N7" s="18">
        <v>1</v>
      </c>
      <c r="O7" s="25">
        <f t="shared" si="1"/>
        <v>2</v>
      </c>
      <c r="P7" s="25">
        <v>0.1</v>
      </c>
      <c r="Q7" s="25">
        <f t="shared" si="7"/>
        <v>0.2</v>
      </c>
      <c r="R7" s="18">
        <v>10</v>
      </c>
      <c r="S7" s="25">
        <f t="shared" si="2"/>
        <v>2</v>
      </c>
      <c r="T7" s="20"/>
      <c r="U7" s="20"/>
      <c r="V7" s="112" t="s">
        <v>33</v>
      </c>
      <c r="W7" s="112"/>
      <c r="X7" s="18">
        <v>2</v>
      </c>
      <c r="Y7" s="18">
        <v>1</v>
      </c>
      <c r="Z7" s="25">
        <f t="shared" si="3"/>
        <v>2</v>
      </c>
      <c r="AA7" s="25">
        <v>0.1</v>
      </c>
      <c r="AB7" s="25">
        <f t="shared" si="8"/>
        <v>0.2</v>
      </c>
      <c r="AC7" s="18">
        <v>7</v>
      </c>
      <c r="AD7" s="25">
        <f t="shared" si="4"/>
        <v>1.4000000000000001</v>
      </c>
    </row>
    <row r="8" spans="1:30" ht="49.95" customHeight="1" x14ac:dyDescent="0.35">
      <c r="A8" s="104" t="s">
        <v>34</v>
      </c>
      <c r="B8" s="105"/>
      <c r="C8" s="23">
        <v>1</v>
      </c>
      <c r="D8" s="24">
        <v>10</v>
      </c>
      <c r="E8" s="25">
        <f t="shared" si="0"/>
        <v>0.1</v>
      </c>
      <c r="F8" s="25">
        <v>0.41</v>
      </c>
      <c r="G8" s="25">
        <f t="shared" si="6"/>
        <v>4.1000000000000002E-2</v>
      </c>
      <c r="H8" s="18">
        <v>15</v>
      </c>
      <c r="I8" s="25">
        <f t="shared" si="5"/>
        <v>0.61499999999999999</v>
      </c>
      <c r="J8" s="20"/>
      <c r="K8" s="20"/>
      <c r="L8" s="15" t="s">
        <v>34</v>
      </c>
      <c r="M8" s="23">
        <v>1</v>
      </c>
      <c r="N8" s="24">
        <v>10</v>
      </c>
      <c r="O8" s="25">
        <f t="shared" si="1"/>
        <v>0.1</v>
      </c>
      <c r="P8" s="25">
        <v>0.41</v>
      </c>
      <c r="Q8" s="25">
        <f t="shared" si="7"/>
        <v>4.1000000000000002E-2</v>
      </c>
      <c r="R8" s="18">
        <v>10</v>
      </c>
      <c r="S8" s="25">
        <f t="shared" si="2"/>
        <v>0.41000000000000003</v>
      </c>
      <c r="T8" s="20"/>
      <c r="U8" s="20"/>
      <c r="V8" s="102" t="s">
        <v>34</v>
      </c>
      <c r="W8" s="102"/>
      <c r="X8" s="23">
        <v>1</v>
      </c>
      <c r="Y8" s="24">
        <v>10</v>
      </c>
      <c r="Z8" s="25">
        <f t="shared" si="3"/>
        <v>0.1</v>
      </c>
      <c r="AA8" s="25">
        <v>0.41</v>
      </c>
      <c r="AB8" s="25">
        <f t="shared" si="8"/>
        <v>4.1000000000000002E-2</v>
      </c>
      <c r="AC8" s="18">
        <v>7</v>
      </c>
      <c r="AD8" s="25">
        <f t="shared" si="4"/>
        <v>0.28700000000000003</v>
      </c>
    </row>
    <row r="9" spans="1:30" ht="49.95" customHeight="1" x14ac:dyDescent="0.35">
      <c r="A9" s="104" t="s">
        <v>35</v>
      </c>
      <c r="B9" s="105"/>
      <c r="C9" s="24">
        <v>1</v>
      </c>
      <c r="D9" s="24">
        <v>10</v>
      </c>
      <c r="E9" s="25">
        <f t="shared" si="0"/>
        <v>0.1</v>
      </c>
      <c r="F9" s="25">
        <v>0.3</v>
      </c>
      <c r="G9" s="25">
        <f t="shared" si="6"/>
        <v>0.03</v>
      </c>
      <c r="H9" s="18">
        <v>15</v>
      </c>
      <c r="I9" s="25">
        <f t="shared" si="5"/>
        <v>0.44999999999999996</v>
      </c>
      <c r="J9" s="20"/>
      <c r="K9" s="20"/>
      <c r="L9" s="15" t="s">
        <v>35</v>
      </c>
      <c r="M9" s="24">
        <v>1</v>
      </c>
      <c r="N9" s="24">
        <v>10</v>
      </c>
      <c r="O9" s="25">
        <f t="shared" si="1"/>
        <v>0.1</v>
      </c>
      <c r="P9" s="25">
        <v>0.3</v>
      </c>
      <c r="Q9" s="25">
        <f t="shared" si="7"/>
        <v>0.03</v>
      </c>
      <c r="R9" s="18">
        <v>10</v>
      </c>
      <c r="S9" s="25">
        <f t="shared" si="2"/>
        <v>0.3</v>
      </c>
      <c r="T9" s="20"/>
      <c r="U9" s="20"/>
      <c r="V9" s="102" t="s">
        <v>35</v>
      </c>
      <c r="W9" s="102"/>
      <c r="X9" s="24">
        <v>1</v>
      </c>
      <c r="Y9" s="24">
        <v>10</v>
      </c>
      <c r="Z9" s="25">
        <f t="shared" si="3"/>
        <v>0.1</v>
      </c>
      <c r="AA9" s="25">
        <v>0.3</v>
      </c>
      <c r="AB9" s="25">
        <f t="shared" si="8"/>
        <v>0.03</v>
      </c>
      <c r="AC9" s="18">
        <v>7</v>
      </c>
      <c r="AD9" s="25">
        <f t="shared" si="4"/>
        <v>0.21</v>
      </c>
    </row>
    <row r="10" spans="1:30" ht="49.95" customHeight="1" x14ac:dyDescent="0.35">
      <c r="A10" s="104" t="s">
        <v>36</v>
      </c>
      <c r="B10" s="105"/>
      <c r="C10" s="23">
        <v>2</v>
      </c>
      <c r="D10" s="24">
        <v>1</v>
      </c>
      <c r="E10" s="25">
        <f t="shared" si="0"/>
        <v>2</v>
      </c>
      <c r="F10" s="25">
        <v>7.0000000000000007E-2</v>
      </c>
      <c r="G10" s="25">
        <f t="shared" si="6"/>
        <v>0.14000000000000001</v>
      </c>
      <c r="H10" s="18">
        <v>16</v>
      </c>
      <c r="I10" s="25">
        <f>G10*H10</f>
        <v>2.2400000000000002</v>
      </c>
      <c r="J10" s="20"/>
      <c r="K10" s="20"/>
      <c r="L10" s="15" t="s">
        <v>36</v>
      </c>
      <c r="M10" s="23">
        <v>2</v>
      </c>
      <c r="N10" s="24">
        <v>1</v>
      </c>
      <c r="O10" s="25">
        <f t="shared" si="1"/>
        <v>2</v>
      </c>
      <c r="P10" s="25">
        <v>7.0000000000000007E-2</v>
      </c>
      <c r="Q10" s="25">
        <f t="shared" si="7"/>
        <v>0.14000000000000001</v>
      </c>
      <c r="R10" s="18">
        <v>10</v>
      </c>
      <c r="S10" s="25">
        <f t="shared" si="2"/>
        <v>1.4000000000000001</v>
      </c>
      <c r="T10" s="20"/>
      <c r="U10" s="20"/>
      <c r="V10" s="102" t="s">
        <v>36</v>
      </c>
      <c r="W10" s="102"/>
      <c r="X10" s="23">
        <v>2</v>
      </c>
      <c r="Y10" s="24">
        <v>1</v>
      </c>
      <c r="Z10" s="25">
        <f t="shared" si="3"/>
        <v>2</v>
      </c>
      <c r="AA10" s="25">
        <v>7.0000000000000007E-2</v>
      </c>
      <c r="AB10" s="25">
        <f t="shared" si="8"/>
        <v>0.14000000000000001</v>
      </c>
      <c r="AC10" s="18">
        <v>7</v>
      </c>
      <c r="AD10" s="25">
        <f t="shared" si="4"/>
        <v>0.98000000000000009</v>
      </c>
    </row>
    <row r="11" spans="1:30" ht="49.95" customHeight="1" x14ac:dyDescent="0.35">
      <c r="A11" s="106" t="s">
        <v>46</v>
      </c>
      <c r="B11" s="26" t="s">
        <v>38</v>
      </c>
      <c r="C11" s="23">
        <v>2</v>
      </c>
      <c r="D11" s="24">
        <v>1</v>
      </c>
      <c r="E11" s="25">
        <f t="shared" si="0"/>
        <v>2</v>
      </c>
      <c r="F11" s="25">
        <v>0.08</v>
      </c>
      <c r="G11" s="25">
        <f t="shared" si="6"/>
        <v>0.16</v>
      </c>
      <c r="H11" s="18">
        <v>2</v>
      </c>
      <c r="I11" s="25">
        <f t="shared" si="5"/>
        <v>0.32</v>
      </c>
      <c r="J11" s="20"/>
      <c r="K11" s="20"/>
      <c r="L11" s="37" t="s">
        <v>46</v>
      </c>
      <c r="M11" s="18">
        <v>1</v>
      </c>
      <c r="N11" s="18">
        <v>1</v>
      </c>
      <c r="O11" s="25">
        <f t="shared" si="1"/>
        <v>1</v>
      </c>
      <c r="P11" s="25">
        <v>7.0000000000000007E-2</v>
      </c>
      <c r="Q11" s="25">
        <f>O11*P11</f>
        <v>7.0000000000000007E-2</v>
      </c>
      <c r="R11" s="18">
        <v>10</v>
      </c>
      <c r="S11" s="25">
        <f t="shared" si="2"/>
        <v>0.70000000000000007</v>
      </c>
      <c r="T11" s="20"/>
      <c r="U11" s="20"/>
      <c r="V11" s="15" t="s">
        <v>46</v>
      </c>
      <c r="W11" s="26" t="s">
        <v>37</v>
      </c>
      <c r="X11" s="18">
        <v>1</v>
      </c>
      <c r="Y11" s="18">
        <v>1</v>
      </c>
      <c r="Z11" s="25">
        <f t="shared" si="3"/>
        <v>1</v>
      </c>
      <c r="AA11" s="25">
        <v>7.0000000000000007E-2</v>
      </c>
      <c r="AB11" s="25">
        <f t="shared" ref="AB11:AB18" si="9">Z11*AA11</f>
        <v>7.0000000000000007E-2</v>
      </c>
      <c r="AC11" s="18">
        <v>5</v>
      </c>
      <c r="AD11" s="25">
        <f t="shared" si="4"/>
        <v>0.35000000000000003</v>
      </c>
    </row>
    <row r="12" spans="1:30" ht="49.95" customHeight="1" x14ac:dyDescent="0.35">
      <c r="A12" s="107"/>
      <c r="B12" s="26" t="s">
        <v>37</v>
      </c>
      <c r="C12" s="18">
        <v>1</v>
      </c>
      <c r="D12" s="18">
        <v>1</v>
      </c>
      <c r="E12" s="25">
        <f t="shared" si="0"/>
        <v>1</v>
      </c>
      <c r="F12" s="25">
        <v>0.08</v>
      </c>
      <c r="G12" s="25">
        <f t="shared" si="6"/>
        <v>0.08</v>
      </c>
      <c r="H12" s="18">
        <v>14</v>
      </c>
      <c r="I12" s="25">
        <f t="shared" si="5"/>
        <v>1.1200000000000001</v>
      </c>
      <c r="J12" s="20"/>
      <c r="K12" s="20"/>
      <c r="L12" s="15" t="s">
        <v>47</v>
      </c>
      <c r="M12" s="24">
        <v>1</v>
      </c>
      <c r="N12" s="24">
        <v>1</v>
      </c>
      <c r="O12" s="25">
        <f t="shared" si="1"/>
        <v>1</v>
      </c>
      <c r="P12" s="25">
        <v>7.0000000000000007E-2</v>
      </c>
      <c r="Q12" s="25">
        <f>O12*P12</f>
        <v>7.0000000000000007E-2</v>
      </c>
      <c r="R12" s="18">
        <v>10</v>
      </c>
      <c r="S12" s="25">
        <f t="shared" si="2"/>
        <v>0.70000000000000007</v>
      </c>
      <c r="T12" s="20"/>
      <c r="U12" s="20"/>
      <c r="V12" s="102" t="s">
        <v>47</v>
      </c>
      <c r="W12" s="26" t="s">
        <v>37</v>
      </c>
      <c r="X12" s="24">
        <v>1</v>
      </c>
      <c r="Y12" s="24">
        <v>1</v>
      </c>
      <c r="Z12" s="25">
        <f t="shared" si="3"/>
        <v>1</v>
      </c>
      <c r="AA12" s="25">
        <v>7.0000000000000007E-2</v>
      </c>
      <c r="AB12" s="25">
        <f t="shared" si="9"/>
        <v>7.0000000000000007E-2</v>
      </c>
      <c r="AC12" s="18">
        <v>5</v>
      </c>
      <c r="AD12" s="25">
        <f t="shared" si="4"/>
        <v>0.35000000000000003</v>
      </c>
    </row>
    <row r="13" spans="1:30" ht="49.95" customHeight="1" x14ac:dyDescent="0.35">
      <c r="A13" s="15" t="s">
        <v>47</v>
      </c>
      <c r="B13" s="26" t="s">
        <v>37</v>
      </c>
      <c r="C13" s="24">
        <v>1</v>
      </c>
      <c r="D13" s="24">
        <v>1</v>
      </c>
      <c r="E13" s="25">
        <f t="shared" si="0"/>
        <v>1</v>
      </c>
      <c r="F13" s="25">
        <v>0.08</v>
      </c>
      <c r="G13" s="25">
        <f t="shared" ref="G13:G19" si="10">E13*F13</f>
        <v>0.08</v>
      </c>
      <c r="H13" s="18">
        <v>14</v>
      </c>
      <c r="I13" s="25">
        <f t="shared" si="5"/>
        <v>1.1200000000000001</v>
      </c>
      <c r="J13" s="20"/>
      <c r="K13" s="20"/>
      <c r="L13" s="36" t="s">
        <v>49</v>
      </c>
      <c r="M13" s="18">
        <f>2*INT(3000/120)</f>
        <v>50</v>
      </c>
      <c r="N13" s="18">
        <v>10</v>
      </c>
      <c r="O13" s="25">
        <f t="shared" si="1"/>
        <v>5</v>
      </c>
      <c r="P13" s="25">
        <v>0.03</v>
      </c>
      <c r="Q13" s="25">
        <f>O13*P13</f>
        <v>0.15</v>
      </c>
      <c r="R13" s="18">
        <v>10</v>
      </c>
      <c r="S13" s="25">
        <f>Q13*R13</f>
        <v>1.5</v>
      </c>
      <c r="T13" s="20"/>
      <c r="U13" s="20"/>
      <c r="V13" s="102"/>
      <c r="W13" s="26" t="s">
        <v>44</v>
      </c>
      <c r="X13" s="24">
        <v>2</v>
      </c>
      <c r="Y13" s="24">
        <v>1</v>
      </c>
      <c r="Z13" s="25">
        <f t="shared" si="3"/>
        <v>2</v>
      </c>
      <c r="AA13" s="25">
        <v>7.0000000000000007E-2</v>
      </c>
      <c r="AB13" s="25">
        <f t="shared" si="9"/>
        <v>0.14000000000000001</v>
      </c>
      <c r="AC13" s="18">
        <v>2</v>
      </c>
      <c r="AD13" s="25">
        <f t="shared" si="4"/>
        <v>0.28000000000000003</v>
      </c>
    </row>
    <row r="14" spans="1:30" ht="49.95" customHeight="1" x14ac:dyDescent="0.35">
      <c r="A14" s="108" t="s">
        <v>49</v>
      </c>
      <c r="B14" s="26" t="s">
        <v>38</v>
      </c>
      <c r="C14" s="18">
        <f>2*INT(4000/120)</f>
        <v>66</v>
      </c>
      <c r="D14" s="18">
        <v>10</v>
      </c>
      <c r="E14" s="25">
        <f t="shared" si="0"/>
        <v>6.6</v>
      </c>
      <c r="F14" s="25">
        <v>0.03</v>
      </c>
      <c r="G14" s="25">
        <f t="shared" si="10"/>
        <v>0.19799999999999998</v>
      </c>
      <c r="H14" s="18">
        <v>2</v>
      </c>
      <c r="I14" s="25">
        <f t="shared" si="5"/>
        <v>0.39599999999999996</v>
      </c>
      <c r="J14" s="20"/>
      <c r="K14" s="20"/>
      <c r="L14" s="36" t="s">
        <v>50</v>
      </c>
      <c r="M14" s="18">
        <f>INT(3000/120)+INT(13/2)</f>
        <v>31</v>
      </c>
      <c r="N14" s="18">
        <v>10</v>
      </c>
      <c r="O14" s="25">
        <f t="shared" si="1"/>
        <v>3.1</v>
      </c>
      <c r="P14" s="25">
        <v>0.03</v>
      </c>
      <c r="Q14" s="25">
        <f>O14*P14</f>
        <v>9.2999999999999999E-2</v>
      </c>
      <c r="R14" s="18">
        <v>10</v>
      </c>
      <c r="S14" s="25">
        <f t="shared" si="2"/>
        <v>0.92999999999999994</v>
      </c>
      <c r="T14" s="20"/>
      <c r="U14" s="20"/>
      <c r="V14" s="36" t="s">
        <v>49</v>
      </c>
      <c r="W14" s="26" t="s">
        <v>37</v>
      </c>
      <c r="X14" s="18">
        <f>2*INT(3000/120)</f>
        <v>50</v>
      </c>
      <c r="Y14" s="18">
        <v>10</v>
      </c>
      <c r="Z14" s="25">
        <f t="shared" si="3"/>
        <v>5</v>
      </c>
      <c r="AA14" s="25">
        <v>0.03</v>
      </c>
      <c r="AB14" s="25">
        <f t="shared" si="9"/>
        <v>0.15</v>
      </c>
      <c r="AC14" s="18">
        <v>5</v>
      </c>
      <c r="AD14" s="25">
        <f t="shared" si="4"/>
        <v>0.75</v>
      </c>
    </row>
    <row r="15" spans="1:30" ht="49.95" customHeight="1" x14ac:dyDescent="0.35">
      <c r="A15" s="109"/>
      <c r="B15" s="26" t="s">
        <v>37</v>
      </c>
      <c r="C15" s="18">
        <f>2*INT(3000/120)</f>
        <v>50</v>
      </c>
      <c r="D15" s="18">
        <v>10</v>
      </c>
      <c r="E15" s="25">
        <f t="shared" si="0"/>
        <v>5</v>
      </c>
      <c r="F15" s="25">
        <v>0.03</v>
      </c>
      <c r="G15" s="25">
        <f t="shared" si="10"/>
        <v>0.15</v>
      </c>
      <c r="H15" s="18">
        <v>14</v>
      </c>
      <c r="I15" s="25">
        <f t="shared" si="5"/>
        <v>2.1</v>
      </c>
      <c r="J15" s="20"/>
      <c r="K15" s="20"/>
      <c r="L15" s="36" t="s">
        <v>48</v>
      </c>
      <c r="M15" s="18">
        <v>10</v>
      </c>
      <c r="N15" s="18">
        <v>10</v>
      </c>
      <c r="O15" s="25">
        <f t="shared" ref="O15" si="11">M15/N15</f>
        <v>1</v>
      </c>
      <c r="P15" s="25">
        <v>0.15</v>
      </c>
      <c r="Q15" s="25">
        <f>O15*P15</f>
        <v>0.15</v>
      </c>
      <c r="R15" s="18">
        <v>10</v>
      </c>
      <c r="S15" s="25">
        <f t="shared" si="2"/>
        <v>1.5</v>
      </c>
      <c r="T15" s="20"/>
      <c r="U15" s="20"/>
      <c r="V15" s="112" t="s">
        <v>50</v>
      </c>
      <c r="W15" s="26" t="s">
        <v>37</v>
      </c>
      <c r="X15" s="18">
        <f>INT(3000/120)+INT(4/2)</f>
        <v>27</v>
      </c>
      <c r="Y15" s="18">
        <v>10</v>
      </c>
      <c r="Z15" s="25">
        <f t="shared" si="3"/>
        <v>2.7</v>
      </c>
      <c r="AA15" s="25">
        <v>0.03</v>
      </c>
      <c r="AB15" s="25">
        <f t="shared" si="9"/>
        <v>8.1000000000000003E-2</v>
      </c>
      <c r="AC15" s="18">
        <v>5</v>
      </c>
      <c r="AD15" s="25">
        <f t="shared" si="4"/>
        <v>0.40500000000000003</v>
      </c>
    </row>
    <row r="16" spans="1:30" ht="49.95" customHeight="1" x14ac:dyDescent="0.35">
      <c r="A16" s="108" t="s">
        <v>50</v>
      </c>
      <c r="B16" s="26" t="s">
        <v>38</v>
      </c>
      <c r="C16" s="18">
        <f>INT(4000/120)+INT(97/2)</f>
        <v>81</v>
      </c>
      <c r="D16" s="18">
        <v>10</v>
      </c>
      <c r="E16" s="25">
        <f t="shared" si="0"/>
        <v>8.1</v>
      </c>
      <c r="F16" s="25">
        <v>0.03</v>
      </c>
      <c r="G16" s="25">
        <f t="shared" si="10"/>
        <v>0.24299999999999999</v>
      </c>
      <c r="H16" s="18">
        <v>2</v>
      </c>
      <c r="I16" s="25">
        <f t="shared" si="5"/>
        <v>0.48599999999999999</v>
      </c>
      <c r="J16" s="20"/>
      <c r="K16" s="20"/>
      <c r="L16" s="20"/>
      <c r="M16" s="20"/>
      <c r="N16" s="20"/>
      <c r="O16" s="20"/>
      <c r="P16" s="20"/>
      <c r="Q16" s="20"/>
      <c r="R16" s="33" t="s">
        <v>28</v>
      </c>
      <c r="S16" s="34">
        <f>SUM(S3:S15)</f>
        <v>10.718666666666667</v>
      </c>
      <c r="T16" s="20"/>
      <c r="U16" s="20"/>
      <c r="V16" s="112"/>
      <c r="W16" s="26" t="s">
        <v>44</v>
      </c>
      <c r="X16" s="18">
        <f>INT(3000/120)+INT(7/2)</f>
        <v>28</v>
      </c>
      <c r="Y16" s="18">
        <v>11</v>
      </c>
      <c r="Z16" s="25">
        <f t="shared" si="3"/>
        <v>2.5454545454545454</v>
      </c>
      <c r="AA16" s="25">
        <v>0.03</v>
      </c>
      <c r="AB16" s="25">
        <f t="shared" si="9"/>
        <v>7.6363636363636356E-2</v>
      </c>
      <c r="AC16" s="18">
        <v>2</v>
      </c>
      <c r="AD16" s="25">
        <f t="shared" si="4"/>
        <v>0.15272727272727271</v>
      </c>
    </row>
    <row r="17" spans="1:30" ht="49.95" customHeight="1" x14ac:dyDescent="0.35">
      <c r="A17" s="109"/>
      <c r="B17" s="26" t="s">
        <v>37</v>
      </c>
      <c r="C17" s="18">
        <f>INT(3000/120)+INT(15/2)</f>
        <v>32</v>
      </c>
      <c r="D17" s="18">
        <v>10</v>
      </c>
      <c r="E17" s="25">
        <f t="shared" si="0"/>
        <v>3.2</v>
      </c>
      <c r="F17" s="25">
        <v>0.03</v>
      </c>
      <c r="G17" s="25">
        <f t="shared" si="10"/>
        <v>9.6000000000000002E-2</v>
      </c>
      <c r="H17" s="18">
        <v>14</v>
      </c>
      <c r="I17" s="25">
        <f t="shared" si="5"/>
        <v>1.3440000000000001</v>
      </c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112" t="s">
        <v>48</v>
      </c>
      <c r="W17" s="26" t="s">
        <v>37</v>
      </c>
      <c r="X17" s="18">
        <v>10</v>
      </c>
      <c r="Y17" s="18">
        <v>10</v>
      </c>
      <c r="Z17" s="25">
        <f t="shared" si="3"/>
        <v>1</v>
      </c>
      <c r="AA17" s="25">
        <v>0.15</v>
      </c>
      <c r="AB17" s="25">
        <f t="shared" si="9"/>
        <v>0.15</v>
      </c>
      <c r="AC17" s="18">
        <v>5</v>
      </c>
      <c r="AD17" s="25">
        <f t="shared" si="4"/>
        <v>0.75</v>
      </c>
    </row>
    <row r="18" spans="1:30" ht="49.95" customHeight="1" x14ac:dyDescent="0.35">
      <c r="A18" s="108" t="s">
        <v>48</v>
      </c>
      <c r="B18" s="26" t="s">
        <v>38</v>
      </c>
      <c r="C18" s="18">
        <v>40</v>
      </c>
      <c r="D18" s="18">
        <v>10</v>
      </c>
      <c r="E18" s="25">
        <f t="shared" si="0"/>
        <v>4</v>
      </c>
      <c r="F18" s="25">
        <v>0.15</v>
      </c>
      <c r="G18" s="25">
        <f t="shared" si="10"/>
        <v>0.6</v>
      </c>
      <c r="H18" s="18">
        <v>2</v>
      </c>
      <c r="I18" s="25">
        <f t="shared" si="5"/>
        <v>1.2</v>
      </c>
      <c r="J18" s="20"/>
      <c r="K18" s="19"/>
      <c r="L18" s="19"/>
      <c r="M18" s="20"/>
      <c r="N18" s="20"/>
      <c r="O18" s="20"/>
      <c r="P18" s="20"/>
      <c r="Q18" s="20"/>
      <c r="R18" s="20"/>
      <c r="S18" s="20"/>
      <c r="T18" s="20"/>
      <c r="U18" s="20"/>
      <c r="V18" s="112"/>
      <c r="W18" s="26" t="s">
        <v>44</v>
      </c>
      <c r="X18" s="18">
        <v>10</v>
      </c>
      <c r="Y18" s="18">
        <v>10</v>
      </c>
      <c r="Z18" s="25">
        <f t="shared" si="3"/>
        <v>1</v>
      </c>
      <c r="AA18" s="25">
        <v>0.15</v>
      </c>
      <c r="AB18" s="25">
        <f t="shared" si="9"/>
        <v>0.15</v>
      </c>
      <c r="AC18" s="18">
        <v>2</v>
      </c>
      <c r="AD18" s="25">
        <f t="shared" si="4"/>
        <v>0.3</v>
      </c>
    </row>
    <row r="19" spans="1:30" ht="49.95" customHeight="1" x14ac:dyDescent="0.35">
      <c r="A19" s="109"/>
      <c r="B19" s="26" t="s">
        <v>37</v>
      </c>
      <c r="C19" s="18">
        <v>10</v>
      </c>
      <c r="D19" s="18">
        <v>10</v>
      </c>
      <c r="E19" s="25">
        <f t="shared" si="0"/>
        <v>1</v>
      </c>
      <c r="F19" s="25">
        <v>0.15</v>
      </c>
      <c r="G19" s="25">
        <f t="shared" si="10"/>
        <v>0.15</v>
      </c>
      <c r="H19" s="18">
        <v>14</v>
      </c>
      <c r="I19" s="25">
        <f t="shared" si="5"/>
        <v>2.1</v>
      </c>
      <c r="J19" s="20"/>
      <c r="K19" s="38"/>
      <c r="L19" s="3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33" t="s">
        <v>28</v>
      </c>
      <c r="AD19" s="34">
        <f>SUM(AD3:AD18)</f>
        <v>6.8885939393939388</v>
      </c>
    </row>
    <row r="20" spans="1:30" ht="49.95" customHeight="1" x14ac:dyDescent="0.35">
      <c r="A20" s="20"/>
      <c r="B20" s="33"/>
      <c r="C20" s="20"/>
      <c r="D20" s="20"/>
      <c r="E20" s="20"/>
      <c r="F20" s="20"/>
      <c r="G20" s="20"/>
      <c r="H20" s="33" t="s">
        <v>28</v>
      </c>
      <c r="I20" s="34">
        <f>SUM(I3:I19)</f>
        <v>18.624500000000005</v>
      </c>
      <c r="J20" s="20"/>
      <c r="K20" s="19"/>
      <c r="L20" s="19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</row>
    <row r="21" spans="1:30" ht="31.05" customHeight="1" x14ac:dyDescent="0.35">
      <c r="L21" s="6"/>
    </row>
    <row r="22" spans="1:30" ht="31.05" customHeight="1" x14ac:dyDescent="0.35"/>
    <row r="23" spans="1:30" ht="31.05" customHeight="1" x14ac:dyDescent="0.35"/>
    <row r="24" spans="1:30" ht="31.05" customHeight="1" x14ac:dyDescent="0.35"/>
  </sheetData>
  <mergeCells count="27">
    <mergeCell ref="V17:V18"/>
    <mergeCell ref="V3:W3"/>
    <mergeCell ref="V1:W1"/>
    <mergeCell ref="V2:W2"/>
    <mergeCell ref="V4:W4"/>
    <mergeCell ref="V5:W5"/>
    <mergeCell ref="V6:W6"/>
    <mergeCell ref="V7:W7"/>
    <mergeCell ref="V8:W8"/>
    <mergeCell ref="V9:W9"/>
    <mergeCell ref="V10:W10"/>
    <mergeCell ref="V12:V13"/>
    <mergeCell ref="V15:V16"/>
    <mergeCell ref="A14:A15"/>
    <mergeCell ref="A16:A17"/>
    <mergeCell ref="A18:A19"/>
    <mergeCell ref="A5:B5"/>
    <mergeCell ref="A6:B6"/>
    <mergeCell ref="A7:B7"/>
    <mergeCell ref="A8:B8"/>
    <mergeCell ref="A9:B9"/>
    <mergeCell ref="A10:B10"/>
    <mergeCell ref="A1:B1"/>
    <mergeCell ref="A2:B2"/>
    <mergeCell ref="A4:B4"/>
    <mergeCell ref="A3:B3"/>
    <mergeCell ref="A11:A12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7"/>
  <sheetViews>
    <sheetView topLeftCell="P1" zoomScale="70" zoomScaleNormal="70" workbookViewId="0">
      <selection activeCell="Z7" sqref="Z7"/>
    </sheetView>
  </sheetViews>
  <sheetFormatPr defaultRowHeight="18" x14ac:dyDescent="0.35"/>
  <cols>
    <col min="1" max="1" width="35.6328125" customWidth="1"/>
    <col min="2" max="2" width="10.6328125" customWidth="1"/>
    <col min="3" max="3" width="25.6328125" customWidth="1"/>
    <col min="4" max="4" width="15.6328125" customWidth="1"/>
    <col min="5" max="5" width="10.6328125" customWidth="1"/>
    <col min="6" max="6" width="15.6328125" customWidth="1"/>
    <col min="7" max="8" width="10.6328125" customWidth="1"/>
    <col min="9" max="9" width="20.6328125" customWidth="1"/>
    <col min="10" max="10" width="10.6328125" customWidth="1"/>
    <col min="12" max="12" width="35.6328125" customWidth="1"/>
    <col min="13" max="13" width="10.6328125" customWidth="1"/>
    <col min="14" max="15" width="15.6328125" customWidth="1"/>
    <col min="16" max="16" width="10.6328125" customWidth="1"/>
    <col min="17" max="17" width="15.6328125" customWidth="1"/>
    <col min="18" max="19" width="10.6328125" customWidth="1"/>
    <col min="20" max="20" width="15.6328125" customWidth="1"/>
    <col min="21" max="21" width="10.6328125" customWidth="1"/>
    <col min="23" max="23" width="35.6328125" customWidth="1"/>
    <col min="24" max="24" width="10.6328125" customWidth="1"/>
    <col min="25" max="26" width="15.6328125" customWidth="1"/>
    <col min="27" max="27" width="10.6328125" customWidth="1"/>
    <col min="28" max="28" width="15.6328125" customWidth="1"/>
    <col min="29" max="30" width="10.6328125" customWidth="1"/>
    <col min="31" max="31" width="15.6328125" customWidth="1"/>
    <col min="32" max="32" width="10.6328125" customWidth="1"/>
  </cols>
  <sheetData>
    <row r="1" spans="1:32" ht="79.95" customHeight="1" x14ac:dyDescent="0.35">
      <c r="A1" s="102" t="s">
        <v>0</v>
      </c>
      <c r="B1" s="102"/>
      <c r="C1" s="15" t="s">
        <v>78</v>
      </c>
      <c r="D1" s="16" t="s">
        <v>56</v>
      </c>
      <c r="E1" s="17" t="s">
        <v>55</v>
      </c>
      <c r="F1" s="15" t="s">
        <v>26</v>
      </c>
      <c r="G1" s="18" t="s">
        <v>27</v>
      </c>
      <c r="H1" s="18" t="s">
        <v>71</v>
      </c>
      <c r="I1" s="17" t="s">
        <v>79</v>
      </c>
      <c r="J1" s="17" t="s">
        <v>72</v>
      </c>
      <c r="K1" s="19"/>
      <c r="L1" s="102" t="s">
        <v>0</v>
      </c>
      <c r="M1" s="102"/>
      <c r="N1" s="15" t="s">
        <v>76</v>
      </c>
      <c r="O1" s="16" t="s">
        <v>56</v>
      </c>
      <c r="P1" s="17" t="s">
        <v>55</v>
      </c>
      <c r="Q1" s="15" t="s">
        <v>26</v>
      </c>
      <c r="R1" s="18" t="s">
        <v>27</v>
      </c>
      <c r="S1" s="18" t="s">
        <v>71</v>
      </c>
      <c r="T1" s="17" t="s">
        <v>80</v>
      </c>
      <c r="U1" s="17" t="s">
        <v>72</v>
      </c>
      <c r="V1" s="20"/>
      <c r="W1" s="102" t="s">
        <v>0</v>
      </c>
      <c r="X1" s="102"/>
      <c r="Y1" s="15" t="s">
        <v>77</v>
      </c>
      <c r="Z1" s="16" t="s">
        <v>56</v>
      </c>
      <c r="AA1" s="17" t="s">
        <v>55</v>
      </c>
      <c r="AB1" s="15" t="s">
        <v>26</v>
      </c>
      <c r="AC1" s="18" t="s">
        <v>27</v>
      </c>
      <c r="AD1" s="18" t="s">
        <v>71</v>
      </c>
      <c r="AE1" s="17" t="s">
        <v>80</v>
      </c>
      <c r="AF1" s="17" t="s">
        <v>72</v>
      </c>
    </row>
    <row r="2" spans="1:32" x14ac:dyDescent="0.35">
      <c r="A2" s="103">
        <v>1</v>
      </c>
      <c r="B2" s="103"/>
      <c r="C2" s="21">
        <v>2</v>
      </c>
      <c r="D2" s="21">
        <v>3</v>
      </c>
      <c r="E2" s="21">
        <v>4</v>
      </c>
      <c r="F2" s="21">
        <v>5</v>
      </c>
      <c r="G2" s="21">
        <v>6</v>
      </c>
      <c r="H2" s="21">
        <v>7</v>
      </c>
      <c r="I2" s="21">
        <v>8</v>
      </c>
      <c r="J2" s="21">
        <v>9</v>
      </c>
      <c r="K2" s="19"/>
      <c r="L2" s="103">
        <v>1</v>
      </c>
      <c r="M2" s="103"/>
      <c r="N2" s="21">
        <v>2</v>
      </c>
      <c r="O2" s="21">
        <v>3</v>
      </c>
      <c r="P2" s="21">
        <v>4</v>
      </c>
      <c r="Q2" s="21">
        <v>5</v>
      </c>
      <c r="R2" s="21">
        <v>6</v>
      </c>
      <c r="S2" s="21">
        <v>7</v>
      </c>
      <c r="T2" s="21">
        <v>8</v>
      </c>
      <c r="U2" s="21">
        <v>9</v>
      </c>
      <c r="V2" s="20"/>
      <c r="W2" s="103">
        <v>1</v>
      </c>
      <c r="X2" s="103"/>
      <c r="Y2" s="21">
        <v>2</v>
      </c>
      <c r="Z2" s="21">
        <v>3</v>
      </c>
      <c r="AA2" s="21">
        <v>4</v>
      </c>
      <c r="AB2" s="21">
        <v>5</v>
      </c>
      <c r="AC2" s="21">
        <v>6</v>
      </c>
      <c r="AD2" s="21">
        <v>7</v>
      </c>
      <c r="AE2" s="21">
        <v>8</v>
      </c>
      <c r="AF2" s="21">
        <v>9</v>
      </c>
    </row>
    <row r="3" spans="1:32" ht="49.95" customHeight="1" x14ac:dyDescent="0.35">
      <c r="A3" s="102" t="s">
        <v>45</v>
      </c>
      <c r="B3" s="22" t="s">
        <v>38</v>
      </c>
      <c r="C3" s="23">
        <v>6</v>
      </c>
      <c r="D3" s="18">
        <v>4</v>
      </c>
      <c r="E3" s="18">
        <f>D3*2</f>
        <v>8</v>
      </c>
      <c r="F3" s="24">
        <v>10</v>
      </c>
      <c r="G3" s="25">
        <f>E3/F3</f>
        <v>0.8</v>
      </c>
      <c r="H3" s="25">
        <v>0.08</v>
      </c>
      <c r="I3" s="25">
        <f>G3*H3</f>
        <v>6.4000000000000001E-2</v>
      </c>
      <c r="J3" s="25">
        <f>I3*C3</f>
        <v>0.38400000000000001</v>
      </c>
      <c r="K3" s="19"/>
      <c r="L3" s="102" t="s">
        <v>75</v>
      </c>
      <c r="M3" s="22" t="s">
        <v>38</v>
      </c>
      <c r="N3" s="23">
        <v>6</v>
      </c>
      <c r="O3" s="18">
        <v>4</v>
      </c>
      <c r="P3" s="18">
        <f>O3*1</f>
        <v>4</v>
      </c>
      <c r="Q3" s="24">
        <v>10</v>
      </c>
      <c r="R3" s="25">
        <f>P3/Q3</f>
        <v>0.4</v>
      </c>
      <c r="S3" s="25">
        <v>0.08</v>
      </c>
      <c r="T3" s="25">
        <f>R3*S3</f>
        <v>3.2000000000000001E-2</v>
      </c>
      <c r="U3" s="25">
        <f>T3*N3</f>
        <v>0.192</v>
      </c>
      <c r="V3" s="20"/>
      <c r="W3" s="102" t="s">
        <v>75</v>
      </c>
      <c r="X3" s="22" t="s">
        <v>38</v>
      </c>
      <c r="Y3" s="23">
        <v>6</v>
      </c>
      <c r="Z3" s="18">
        <v>4</v>
      </c>
      <c r="AA3" s="18">
        <f>Z3*0</f>
        <v>0</v>
      </c>
      <c r="AB3" s="24">
        <v>10</v>
      </c>
      <c r="AC3" s="25">
        <f>AA3/AB3</f>
        <v>0</v>
      </c>
      <c r="AD3" s="25">
        <v>0.08</v>
      </c>
      <c r="AE3" s="25">
        <f>AC3*AD3</f>
        <v>0</v>
      </c>
      <c r="AF3" s="25">
        <f>AE3*Y3</f>
        <v>0</v>
      </c>
    </row>
    <row r="4" spans="1:32" ht="49.95" customHeight="1" x14ac:dyDescent="0.35">
      <c r="A4" s="102"/>
      <c r="B4" s="22" t="s">
        <v>51</v>
      </c>
      <c r="C4" s="18">
        <v>4</v>
      </c>
      <c r="D4" s="18">
        <v>3</v>
      </c>
      <c r="E4" s="18">
        <f>D4*14</f>
        <v>42</v>
      </c>
      <c r="F4" s="24">
        <v>10</v>
      </c>
      <c r="G4" s="25">
        <f t="shared" ref="G4:G6" si="0">E4/F4</f>
        <v>4.2</v>
      </c>
      <c r="H4" s="18">
        <v>0.08</v>
      </c>
      <c r="I4" s="25">
        <f>G4*H4</f>
        <v>0.33600000000000002</v>
      </c>
      <c r="J4" s="25">
        <f t="shared" ref="J4:J6" si="1">I4*C4</f>
        <v>1.3440000000000001</v>
      </c>
      <c r="K4" s="19"/>
      <c r="L4" s="102"/>
      <c r="M4" s="22" t="s">
        <v>51</v>
      </c>
      <c r="N4" s="18">
        <v>4</v>
      </c>
      <c r="O4" s="18">
        <v>3</v>
      </c>
      <c r="P4" s="18">
        <f>O4*10</f>
        <v>30</v>
      </c>
      <c r="Q4" s="24">
        <v>10</v>
      </c>
      <c r="R4" s="25">
        <f t="shared" ref="R4" si="2">P4/Q4</f>
        <v>3</v>
      </c>
      <c r="S4" s="18">
        <v>0.08</v>
      </c>
      <c r="T4" s="25">
        <f>R4*S4</f>
        <v>0.24</v>
      </c>
      <c r="U4" s="25">
        <f t="shared" ref="U4" si="3">T4*N4</f>
        <v>0.96</v>
      </c>
      <c r="V4" s="20"/>
      <c r="W4" s="102"/>
      <c r="X4" s="22" t="s">
        <v>51</v>
      </c>
      <c r="Y4" s="18">
        <v>4</v>
      </c>
      <c r="Z4" s="18">
        <v>3</v>
      </c>
      <c r="AA4" s="18">
        <f>Z4*7</f>
        <v>21</v>
      </c>
      <c r="AB4" s="24">
        <v>10</v>
      </c>
      <c r="AC4" s="25">
        <f t="shared" ref="AC4" si="4">AA4/AB4</f>
        <v>2.1</v>
      </c>
      <c r="AD4" s="18">
        <v>0.08</v>
      </c>
      <c r="AE4" s="25">
        <f>AC4*AD4</f>
        <v>0.16800000000000001</v>
      </c>
      <c r="AF4" s="25">
        <f t="shared" ref="AF4" si="5">AE4*Y4</f>
        <v>0.67200000000000004</v>
      </c>
    </row>
    <row r="5" spans="1:32" ht="49.95" customHeight="1" x14ac:dyDescent="0.35">
      <c r="A5" s="102" t="s">
        <v>81</v>
      </c>
      <c r="B5" s="22" t="s">
        <v>38</v>
      </c>
      <c r="C5" s="5">
        <v>3</v>
      </c>
      <c r="D5" s="18">
        <v>4</v>
      </c>
      <c r="E5" s="18">
        <f>D5*2</f>
        <v>8</v>
      </c>
      <c r="F5" s="24">
        <v>10</v>
      </c>
      <c r="G5" s="25">
        <f t="shared" si="0"/>
        <v>0.8</v>
      </c>
      <c r="H5" s="18">
        <v>0.08</v>
      </c>
      <c r="I5" s="25">
        <f t="shared" ref="I5:I6" si="6">G5*H5</f>
        <v>6.4000000000000001E-2</v>
      </c>
      <c r="J5" s="25">
        <f t="shared" si="1"/>
        <v>0.192</v>
      </c>
      <c r="K5" s="19"/>
      <c r="L5" s="114" t="s">
        <v>54</v>
      </c>
      <c r="M5" s="115"/>
      <c r="N5" s="42">
        <v>7</v>
      </c>
      <c r="O5" s="18">
        <v>29</v>
      </c>
      <c r="P5" s="18">
        <f>O5*12</f>
        <v>348</v>
      </c>
      <c r="Q5" s="24">
        <v>10</v>
      </c>
      <c r="R5" s="25">
        <f>P5/Q5</f>
        <v>34.799999999999997</v>
      </c>
      <c r="S5" s="25">
        <v>0.2</v>
      </c>
      <c r="T5" s="28">
        <f t="shared" ref="T5" si="7">R5*S5</f>
        <v>6.96</v>
      </c>
      <c r="U5" s="25">
        <f>T5*N5</f>
        <v>48.72</v>
      </c>
      <c r="V5" s="20"/>
      <c r="W5" s="114" t="s">
        <v>54</v>
      </c>
      <c r="X5" s="115"/>
      <c r="Y5" s="43">
        <v>4</v>
      </c>
      <c r="Z5" s="18">
        <v>39</v>
      </c>
      <c r="AA5" s="18">
        <f>Z5*7</f>
        <v>273</v>
      </c>
      <c r="AB5" s="24">
        <v>10</v>
      </c>
      <c r="AC5" s="25">
        <f>AA5/AB5</f>
        <v>27.3</v>
      </c>
      <c r="AD5" s="25">
        <v>0.2</v>
      </c>
      <c r="AE5" s="28">
        <f>AC5*AD5</f>
        <v>5.4600000000000009</v>
      </c>
      <c r="AF5" s="25">
        <f>AE5*Y5</f>
        <v>21.840000000000003</v>
      </c>
    </row>
    <row r="6" spans="1:32" ht="49.95" customHeight="1" x14ac:dyDescent="0.35">
      <c r="A6" s="102"/>
      <c r="B6" s="22" t="s">
        <v>51</v>
      </c>
      <c r="C6" s="5">
        <v>3</v>
      </c>
      <c r="D6" s="18">
        <v>3</v>
      </c>
      <c r="E6" s="18">
        <f>D6*14</f>
        <v>42</v>
      </c>
      <c r="F6" s="24">
        <v>10</v>
      </c>
      <c r="G6" s="25">
        <f t="shared" si="0"/>
        <v>4.2</v>
      </c>
      <c r="H6" s="18">
        <v>0.08</v>
      </c>
      <c r="I6" s="25">
        <f t="shared" si="6"/>
        <v>0.33600000000000002</v>
      </c>
      <c r="J6" s="25">
        <f t="shared" si="1"/>
        <v>1.008</v>
      </c>
      <c r="K6" s="19"/>
      <c r="L6" s="44"/>
      <c r="M6" s="44"/>
      <c r="N6" s="29"/>
      <c r="O6" s="30"/>
      <c r="P6" s="30"/>
      <c r="Q6" s="31"/>
      <c r="R6" s="32"/>
      <c r="S6" s="32"/>
      <c r="T6" s="33" t="s">
        <v>28</v>
      </c>
      <c r="U6" s="34">
        <f>SUM(U3:U5)</f>
        <v>49.872</v>
      </c>
      <c r="V6" s="20"/>
      <c r="W6" s="113"/>
      <c r="X6" s="113"/>
      <c r="Y6" s="29"/>
      <c r="Z6" s="30"/>
      <c r="AA6" s="30"/>
      <c r="AB6" s="31"/>
      <c r="AC6" s="32"/>
      <c r="AD6" s="32"/>
      <c r="AE6" s="33" t="s">
        <v>28</v>
      </c>
      <c r="AF6" s="34">
        <f>SUM(AF3:AF5)</f>
        <v>22.512000000000004</v>
      </c>
    </row>
    <row r="7" spans="1:32" ht="49.95" customHeight="1" x14ac:dyDescent="0.35">
      <c r="A7" s="104" t="s">
        <v>52</v>
      </c>
      <c r="B7" s="105"/>
      <c r="C7" s="23">
        <v>14</v>
      </c>
      <c r="D7" s="18">
        <v>29</v>
      </c>
      <c r="E7" s="18">
        <f>D7*17</f>
        <v>493</v>
      </c>
      <c r="F7" s="24">
        <v>100</v>
      </c>
      <c r="G7" s="25">
        <f>E7/F7</f>
        <v>4.93</v>
      </c>
      <c r="H7" s="25">
        <v>0.18</v>
      </c>
      <c r="I7" s="25">
        <f>G7*H7</f>
        <v>0.88739999999999997</v>
      </c>
      <c r="J7" s="25">
        <f>I7*C7</f>
        <v>12.4236</v>
      </c>
      <c r="K7" s="19"/>
      <c r="V7" s="20"/>
    </row>
    <row r="8" spans="1:32" ht="49.95" customHeight="1" x14ac:dyDescent="0.35">
      <c r="A8" s="104" t="s">
        <v>53</v>
      </c>
      <c r="B8" s="105"/>
      <c r="C8" s="23">
        <v>16</v>
      </c>
      <c r="D8" s="18">
        <v>29</v>
      </c>
      <c r="E8" s="18">
        <f>D8*17</f>
        <v>493</v>
      </c>
      <c r="F8" s="24">
        <v>10</v>
      </c>
      <c r="G8" s="25">
        <f>E8/F8</f>
        <v>49.3</v>
      </c>
      <c r="H8" s="25">
        <v>0.22</v>
      </c>
      <c r="I8" s="25">
        <f>G8*H8</f>
        <v>10.846</v>
      </c>
      <c r="J8" s="25">
        <f>I8*C8</f>
        <v>173.536</v>
      </c>
      <c r="K8" s="19"/>
      <c r="V8" s="20"/>
    </row>
    <row r="9" spans="1:32" ht="49.95" customHeight="1" x14ac:dyDescent="0.35">
      <c r="A9" s="35"/>
      <c r="B9" s="35"/>
      <c r="C9" s="29"/>
      <c r="D9" s="31"/>
      <c r="E9" s="20"/>
      <c r="F9" s="32"/>
      <c r="G9" s="32"/>
      <c r="H9" s="20"/>
      <c r="I9" s="33" t="s">
        <v>28</v>
      </c>
      <c r="J9" s="34">
        <f>SUM(J3:J8)</f>
        <v>188.88759999999999</v>
      </c>
      <c r="K9" s="19"/>
      <c r="L9" s="44"/>
      <c r="M9" s="44"/>
      <c r="N9" s="29"/>
      <c r="O9" s="30"/>
      <c r="P9" s="30"/>
      <c r="Q9" s="31"/>
      <c r="R9" s="32"/>
      <c r="S9" s="32"/>
      <c r="V9" s="20"/>
      <c r="W9" s="44"/>
      <c r="X9" s="44"/>
      <c r="Y9" s="29"/>
      <c r="Z9" s="30"/>
      <c r="AA9" s="30"/>
      <c r="AB9" s="31"/>
      <c r="AC9" s="32"/>
      <c r="AD9" s="32"/>
    </row>
    <row r="10" spans="1:32" ht="49.95" customHeight="1" x14ac:dyDescent="0.35">
      <c r="K10" s="20"/>
      <c r="L10" s="35"/>
      <c r="M10" s="35"/>
      <c r="N10" s="29"/>
      <c r="O10" s="31"/>
      <c r="P10" s="20"/>
      <c r="Q10" s="32"/>
      <c r="R10" s="32"/>
      <c r="S10" s="20"/>
      <c r="T10" s="20"/>
      <c r="U10" s="20"/>
      <c r="V10" s="20"/>
      <c r="W10" s="35"/>
      <c r="X10" s="35"/>
      <c r="Y10" s="29"/>
      <c r="Z10" s="31"/>
      <c r="AA10" s="20"/>
      <c r="AB10" s="32"/>
      <c r="AC10" s="32"/>
      <c r="AD10" s="20"/>
      <c r="AE10" s="20"/>
      <c r="AF10" s="20"/>
    </row>
    <row r="11" spans="1:32" ht="49.95" customHeight="1" x14ac:dyDescent="0.35">
      <c r="A11" s="10"/>
      <c r="B11" s="10"/>
      <c r="C11" s="7"/>
      <c r="D11" s="7"/>
      <c r="E11" s="2"/>
      <c r="F11" s="9"/>
      <c r="G11" s="2"/>
      <c r="H11" s="7"/>
      <c r="I11" s="9"/>
    </row>
    <row r="12" spans="1:32" ht="49.95" customHeight="1" x14ac:dyDescent="0.35"/>
    <row r="13" spans="1:32" ht="49.95" customHeight="1" x14ac:dyDescent="0.35"/>
    <row r="14" spans="1:32" ht="49.95" customHeight="1" x14ac:dyDescent="0.35">
      <c r="A14" s="3"/>
      <c r="B14" s="4"/>
      <c r="C14" s="1"/>
      <c r="D14" s="1"/>
      <c r="E14" s="2"/>
      <c r="F14" s="2"/>
      <c r="G14" s="2"/>
      <c r="H14" s="7"/>
      <c r="I14" s="9"/>
    </row>
    <row r="15" spans="1:32" ht="49.95" customHeight="1" x14ac:dyDescent="0.35">
      <c r="A15" s="10"/>
      <c r="B15" s="4"/>
      <c r="C15" s="7"/>
      <c r="D15" s="7"/>
      <c r="E15" s="2"/>
      <c r="F15" s="9"/>
      <c r="G15" s="2"/>
      <c r="H15" s="7"/>
      <c r="I15" s="9"/>
    </row>
    <row r="16" spans="1:32" ht="49.95" customHeight="1" x14ac:dyDescent="0.35">
      <c r="A16" s="10"/>
      <c r="B16" s="4"/>
      <c r="C16" s="7"/>
      <c r="D16" s="7"/>
      <c r="E16" s="2"/>
      <c r="F16" s="9"/>
      <c r="G16" s="2"/>
      <c r="H16" s="7"/>
      <c r="I16" s="9"/>
    </row>
    <row r="17" spans="1:9" x14ac:dyDescent="0.35">
      <c r="A17" s="10"/>
      <c r="B17" s="4"/>
      <c r="C17" s="7"/>
      <c r="D17" s="7"/>
      <c r="E17" s="2"/>
      <c r="F17" s="9"/>
      <c r="G17" s="2"/>
      <c r="H17" s="7"/>
      <c r="I17" s="9"/>
    </row>
  </sheetData>
  <mergeCells count="15">
    <mergeCell ref="A8:B8"/>
    <mergeCell ref="A5:A6"/>
    <mergeCell ref="A3:A4"/>
    <mergeCell ref="W1:X1"/>
    <mergeCell ref="W2:X2"/>
    <mergeCell ref="W3:W4"/>
    <mergeCell ref="W6:X6"/>
    <mergeCell ref="L1:M1"/>
    <mergeCell ref="L2:M2"/>
    <mergeCell ref="L3:L4"/>
    <mergeCell ref="A1:B1"/>
    <mergeCell ref="A2:B2"/>
    <mergeCell ref="A7:B7"/>
    <mergeCell ref="W5:X5"/>
    <mergeCell ref="L5:M5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workbookViewId="0">
      <selection activeCell="E9" sqref="E9"/>
    </sheetView>
  </sheetViews>
  <sheetFormatPr defaultRowHeight="18" x14ac:dyDescent="0.35"/>
  <cols>
    <col min="1" max="1" width="20.6328125" customWidth="1"/>
    <col min="4" max="4" width="25.6328125" style="6" customWidth="1"/>
    <col min="5" max="5" width="9.36328125" bestFit="1" customWidth="1"/>
  </cols>
  <sheetData>
    <row r="1" spans="1:11" ht="19.95" customHeight="1" x14ac:dyDescent="0.35">
      <c r="A1" s="13" t="s">
        <v>60</v>
      </c>
      <c r="B1" s="8">
        <f>'ЦС и Ф'!$F$31</f>
        <v>61.237975000000006</v>
      </c>
      <c r="D1" s="5" t="s">
        <v>83</v>
      </c>
      <c r="E1" s="5">
        <f>286+253+84+125+253+210</f>
        <v>1211</v>
      </c>
      <c r="F1" s="48" t="s">
        <v>85</v>
      </c>
    </row>
    <row r="2" spans="1:11" ht="19.95" customHeight="1" x14ac:dyDescent="0.35">
      <c r="A2" s="13" t="s">
        <v>61</v>
      </c>
      <c r="B2" s="8">
        <f>'ЦС и Ф'!$F$48</f>
        <v>2.0825666666666667</v>
      </c>
      <c r="D2" s="5" t="s">
        <v>82</v>
      </c>
      <c r="E2" s="5">
        <v>286</v>
      </c>
      <c r="F2" s="49" t="s">
        <v>84</v>
      </c>
    </row>
    <row r="3" spans="1:11" ht="19.95" customHeight="1" x14ac:dyDescent="0.35">
      <c r="A3" s="13" t="s">
        <v>62</v>
      </c>
      <c r="B3" s="8">
        <f>'ЦС и Ф'!$M$31</f>
        <v>29.46767916666667</v>
      </c>
      <c r="D3" s="52" t="s">
        <v>117</v>
      </c>
      <c r="E3" s="14">
        <f>0.3055*B11</f>
        <v>119.79351991306818</v>
      </c>
      <c r="K3" s="62"/>
    </row>
    <row r="4" spans="1:11" ht="19.95" customHeight="1" x14ac:dyDescent="0.35">
      <c r="A4" s="13" t="s">
        <v>63</v>
      </c>
      <c r="B4" s="8">
        <f>'ЦС и Ф'!$M$48</f>
        <v>1.8312333333333335</v>
      </c>
      <c r="D4" s="51" t="s">
        <v>89</v>
      </c>
      <c r="E4" s="11">
        <f>0*B11</f>
        <v>0</v>
      </c>
    </row>
    <row r="5" spans="1:11" ht="40.049999999999997" customHeight="1" x14ac:dyDescent="0.35">
      <c r="A5" s="13" t="s">
        <v>64</v>
      </c>
      <c r="B5" s="8">
        <f>'Др. ст.'!$I$20</f>
        <v>18.624500000000005</v>
      </c>
      <c r="D5" s="116" t="s">
        <v>87</v>
      </c>
      <c r="E5" s="117">
        <f>B11+E3+E4</f>
        <v>511.91633468579545</v>
      </c>
      <c r="F5" s="50" t="s">
        <v>88</v>
      </c>
    </row>
    <row r="6" spans="1:11" ht="40.049999999999997" customHeight="1" x14ac:dyDescent="0.35">
      <c r="A6" s="13" t="s">
        <v>65</v>
      </c>
      <c r="B6" s="8">
        <f>'Др. ст.'!$S$16</f>
        <v>10.718666666666667</v>
      </c>
      <c r="D6" s="116"/>
      <c r="E6" s="118"/>
    </row>
    <row r="7" spans="1:11" ht="40.049999999999997" customHeight="1" x14ac:dyDescent="0.35">
      <c r="A7" s="13" t="s">
        <v>66</v>
      </c>
      <c r="B7" s="8">
        <f>'Др. ст.'!$AD$19</f>
        <v>6.8885939393939388</v>
      </c>
    </row>
    <row r="8" spans="1:11" ht="40.049999999999997" customHeight="1" x14ac:dyDescent="0.35">
      <c r="A8" s="13" t="s">
        <v>67</v>
      </c>
      <c r="B8" s="8">
        <f>'Линии связи'!$J$9</f>
        <v>188.88759999999999</v>
      </c>
    </row>
    <row r="9" spans="1:11" ht="40.049999999999997" customHeight="1" x14ac:dyDescent="0.35">
      <c r="A9" s="13" t="s">
        <v>68</v>
      </c>
      <c r="B9" s="8">
        <f>'Линии связи'!$U$6</f>
        <v>49.872</v>
      </c>
    </row>
    <row r="10" spans="1:11" ht="40.049999999999997" customHeight="1" x14ac:dyDescent="0.35">
      <c r="A10" s="13" t="s">
        <v>69</v>
      </c>
      <c r="B10" s="8">
        <f>'Линии связи'!$AF$6</f>
        <v>22.512000000000004</v>
      </c>
    </row>
    <row r="11" spans="1:11" ht="38.4" x14ac:dyDescent="0.35">
      <c r="A11" s="45" t="s">
        <v>86</v>
      </c>
      <c r="B11" s="8">
        <f>SUM(B1:B10)</f>
        <v>392.12281477272728</v>
      </c>
      <c r="C11" t="s">
        <v>114</v>
      </c>
    </row>
  </sheetData>
  <mergeCells count="2">
    <mergeCell ref="D5:D6"/>
    <mergeCell ref="E5:E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2"/>
  <sheetViews>
    <sheetView topLeftCell="C1" zoomScale="70" zoomScaleNormal="70" workbookViewId="0">
      <selection activeCell="G18" sqref="G18"/>
    </sheetView>
  </sheetViews>
  <sheetFormatPr defaultRowHeight="18" x14ac:dyDescent="0.35"/>
  <cols>
    <col min="4" max="4" width="25.6328125" customWidth="1"/>
    <col min="5" max="8" width="15.6328125" customWidth="1"/>
    <col min="9" max="10" width="8.6328125" customWidth="1"/>
    <col min="12" max="12" width="25.6328125" customWidth="1"/>
    <col min="13" max="16" width="15.6328125" customWidth="1"/>
    <col min="17" max="18" width="8.6328125" customWidth="1"/>
  </cols>
  <sheetData>
    <row r="1" spans="1:18" x14ac:dyDescent="0.35">
      <c r="A1" t="s">
        <v>58</v>
      </c>
      <c r="B1" s="12"/>
    </row>
    <row r="2" spans="1:18" x14ac:dyDescent="0.35">
      <c r="A2" t="s">
        <v>57</v>
      </c>
    </row>
    <row r="3" spans="1:18" x14ac:dyDescent="0.35">
      <c r="A3" t="s">
        <v>59</v>
      </c>
    </row>
    <row r="4" spans="1:18" x14ac:dyDescent="0.35">
      <c r="A4" t="s">
        <v>70</v>
      </c>
      <c r="D4" t="s">
        <v>113</v>
      </c>
      <c r="L4" s="4" t="s">
        <v>118</v>
      </c>
      <c r="M4" s="4"/>
      <c r="N4" s="4"/>
      <c r="O4" s="4"/>
      <c r="P4" s="4"/>
      <c r="Q4" s="4"/>
      <c r="R4" s="4"/>
    </row>
    <row r="5" spans="1:18" ht="40.049999999999997" customHeight="1" x14ac:dyDescent="0.35">
      <c r="C5" s="57"/>
      <c r="D5" s="116" t="s">
        <v>90</v>
      </c>
      <c r="E5" s="116" t="s">
        <v>91</v>
      </c>
      <c r="F5" s="116" t="s">
        <v>92</v>
      </c>
      <c r="G5" s="116" t="s">
        <v>99</v>
      </c>
      <c r="H5" s="116" t="s">
        <v>27</v>
      </c>
      <c r="I5" s="116" t="s">
        <v>93</v>
      </c>
      <c r="J5" s="116"/>
      <c r="K5" s="55"/>
      <c r="L5" s="116" t="s">
        <v>90</v>
      </c>
      <c r="M5" s="116" t="s">
        <v>91</v>
      </c>
      <c r="N5" s="116" t="s">
        <v>92</v>
      </c>
      <c r="O5" s="116" t="s">
        <v>99</v>
      </c>
      <c r="P5" s="116" t="s">
        <v>27</v>
      </c>
      <c r="Q5" s="116" t="s">
        <v>93</v>
      </c>
      <c r="R5" s="116"/>
    </row>
    <row r="6" spans="1:18" ht="19.95" customHeight="1" x14ac:dyDescent="0.35">
      <c r="C6" s="57"/>
      <c r="D6" s="128"/>
      <c r="E6" s="128"/>
      <c r="F6" s="128"/>
      <c r="G6" s="128"/>
      <c r="H6" s="128"/>
      <c r="I6" s="58" t="s">
        <v>94</v>
      </c>
      <c r="J6" s="58" t="s">
        <v>95</v>
      </c>
      <c r="K6" s="56"/>
      <c r="L6" s="128"/>
      <c r="M6" s="128"/>
      <c r="N6" s="128"/>
      <c r="O6" s="128"/>
      <c r="P6" s="128"/>
      <c r="Q6" s="58" t="s">
        <v>94</v>
      </c>
      <c r="R6" s="58" t="s">
        <v>95</v>
      </c>
    </row>
    <row r="7" spans="1:18" ht="19.95" customHeight="1" x14ac:dyDescent="0.35">
      <c r="D7" s="116" t="s">
        <v>115</v>
      </c>
      <c r="E7" s="116"/>
      <c r="F7" s="116"/>
      <c r="G7" s="116"/>
      <c r="H7" s="116"/>
      <c r="I7" s="116"/>
      <c r="J7" s="116"/>
      <c r="L7" s="116" t="s">
        <v>158</v>
      </c>
      <c r="M7" s="116"/>
      <c r="N7" s="116"/>
      <c r="O7" s="116"/>
      <c r="P7" s="116"/>
      <c r="Q7" s="116"/>
      <c r="R7" s="116"/>
    </row>
    <row r="8" spans="1:18" s="65" customFormat="1" ht="70.05" customHeight="1" x14ac:dyDescent="0.35">
      <c r="D8" s="60" t="s">
        <v>102</v>
      </c>
      <c r="E8" s="59" t="s">
        <v>95</v>
      </c>
      <c r="F8" s="59" t="s">
        <v>97</v>
      </c>
      <c r="G8" s="59">
        <v>1</v>
      </c>
      <c r="H8" s="59" t="s">
        <v>100</v>
      </c>
      <c r="I8" s="125">
        <v>1</v>
      </c>
      <c r="J8" s="66">
        <v>2</v>
      </c>
      <c r="L8" s="60" t="s">
        <v>102</v>
      </c>
      <c r="M8" s="61" t="s">
        <v>95</v>
      </c>
      <c r="N8" s="61" t="s">
        <v>97</v>
      </c>
      <c r="O8" s="61">
        <v>1</v>
      </c>
      <c r="P8" s="61" t="s">
        <v>119</v>
      </c>
      <c r="Q8" s="125">
        <v>1</v>
      </c>
      <c r="R8" s="66">
        <v>1</v>
      </c>
    </row>
    <row r="9" spans="1:18" s="65" customFormat="1" ht="25.05" customHeight="1" x14ac:dyDescent="0.35">
      <c r="D9" s="46" t="s">
        <v>96</v>
      </c>
      <c r="E9" s="47" t="s">
        <v>95</v>
      </c>
      <c r="F9" s="47" t="s">
        <v>98</v>
      </c>
      <c r="G9" s="47">
        <v>2100</v>
      </c>
      <c r="H9" s="47">
        <f>0.5*2300</f>
        <v>1150</v>
      </c>
      <c r="I9" s="126"/>
      <c r="J9" s="63">
        <v>1</v>
      </c>
      <c r="L9" s="53" t="s">
        <v>96</v>
      </c>
      <c r="M9" s="54" t="s">
        <v>95</v>
      </c>
      <c r="N9" s="54" t="s">
        <v>98</v>
      </c>
      <c r="O9" s="54">
        <v>2100</v>
      </c>
      <c r="P9" s="54">
        <f>0.5*1200</f>
        <v>600</v>
      </c>
      <c r="Q9" s="126"/>
      <c r="R9" s="63">
        <v>1</v>
      </c>
    </row>
    <row r="10" spans="1:18" s="65" customFormat="1" ht="90" customHeight="1" x14ac:dyDescent="0.35">
      <c r="D10" s="15" t="s">
        <v>105</v>
      </c>
      <c r="E10" s="47" t="s">
        <v>95</v>
      </c>
      <c r="F10" s="47" t="s">
        <v>104</v>
      </c>
      <c r="G10" s="47">
        <v>310</v>
      </c>
      <c r="H10" s="47">
        <v>540</v>
      </c>
      <c r="I10" s="126"/>
      <c r="J10" s="63">
        <v>2</v>
      </c>
      <c r="L10" s="72" t="s">
        <v>105</v>
      </c>
      <c r="M10" s="68" t="s">
        <v>95</v>
      </c>
      <c r="N10" s="68" t="s">
        <v>104</v>
      </c>
      <c r="O10" s="68">
        <v>310</v>
      </c>
      <c r="P10" s="68">
        <v>250</v>
      </c>
      <c r="Q10" s="126"/>
      <c r="R10" s="63">
        <v>1</v>
      </c>
    </row>
    <row r="11" spans="1:18" s="65" customFormat="1" ht="79.95" customHeight="1" x14ac:dyDescent="0.35">
      <c r="D11" s="46" t="s">
        <v>107</v>
      </c>
      <c r="E11" s="47" t="s">
        <v>95</v>
      </c>
      <c r="F11" s="64" t="s">
        <v>108</v>
      </c>
      <c r="G11" s="64">
        <v>13</v>
      </c>
      <c r="H11" s="47">
        <v>5</v>
      </c>
      <c r="I11" s="126"/>
      <c r="J11" s="63">
        <v>1</v>
      </c>
      <c r="L11" s="53" t="s">
        <v>107</v>
      </c>
      <c r="M11" s="54" t="s">
        <v>95</v>
      </c>
      <c r="N11" s="64" t="s">
        <v>108</v>
      </c>
      <c r="O11" s="64">
        <v>13</v>
      </c>
      <c r="P11" s="54">
        <v>2</v>
      </c>
      <c r="Q11" s="126"/>
      <c r="R11" s="63">
        <v>1</v>
      </c>
    </row>
    <row r="12" spans="1:18" s="65" customFormat="1" ht="49.95" customHeight="1" x14ac:dyDescent="0.35">
      <c r="D12" s="46" t="s">
        <v>106</v>
      </c>
      <c r="E12" s="47" t="s">
        <v>95</v>
      </c>
      <c r="F12" s="64" t="s">
        <v>108</v>
      </c>
      <c r="G12" s="64">
        <v>5</v>
      </c>
      <c r="H12" s="47">
        <v>2</v>
      </c>
      <c r="I12" s="127"/>
      <c r="J12" s="63">
        <v>1</v>
      </c>
      <c r="L12" s="53" t="s">
        <v>106</v>
      </c>
      <c r="M12" s="54" t="s">
        <v>95</v>
      </c>
      <c r="N12" s="64" t="s">
        <v>108</v>
      </c>
      <c r="O12" s="64">
        <v>5</v>
      </c>
      <c r="P12" s="54">
        <v>2</v>
      </c>
      <c r="Q12" s="127"/>
      <c r="R12" s="63">
        <v>1</v>
      </c>
    </row>
    <row r="13" spans="1:18" ht="19.95" customHeight="1" x14ac:dyDescent="0.35">
      <c r="D13" s="118" t="s">
        <v>103</v>
      </c>
      <c r="E13" s="118"/>
      <c r="F13" s="118"/>
      <c r="G13" s="118"/>
      <c r="H13" s="118"/>
      <c r="I13" s="47">
        <v>1</v>
      </c>
      <c r="J13" s="63">
        <f>SUM(J8:J12)</f>
        <v>7</v>
      </c>
      <c r="L13" s="118" t="s">
        <v>103</v>
      </c>
      <c r="M13" s="118"/>
      <c r="N13" s="118"/>
      <c r="O13" s="118"/>
      <c r="P13" s="118"/>
      <c r="Q13" s="54">
        <v>1</v>
      </c>
      <c r="R13" s="63">
        <f>SUM(R8:R12)</f>
        <v>5</v>
      </c>
    </row>
    <row r="14" spans="1:18" ht="19.95" customHeight="1" x14ac:dyDescent="0.35">
      <c r="D14" s="118" t="s">
        <v>116</v>
      </c>
      <c r="E14" s="118"/>
      <c r="F14" s="118"/>
      <c r="G14" s="118"/>
      <c r="H14" s="118"/>
      <c r="I14" s="118"/>
      <c r="J14" s="118"/>
      <c r="L14" s="118" t="s">
        <v>159</v>
      </c>
      <c r="M14" s="118"/>
      <c r="N14" s="118"/>
      <c r="O14" s="118"/>
      <c r="P14" s="118"/>
      <c r="Q14" s="118"/>
      <c r="R14" s="118"/>
    </row>
    <row r="15" spans="1:18" ht="60" customHeight="1" x14ac:dyDescent="0.35">
      <c r="D15" s="46" t="s">
        <v>120</v>
      </c>
      <c r="E15" s="64" t="s">
        <v>95</v>
      </c>
      <c r="F15" s="64" t="s">
        <v>109</v>
      </c>
      <c r="G15" s="64">
        <v>12</v>
      </c>
      <c r="H15" s="47">
        <f>58</f>
        <v>58</v>
      </c>
      <c r="I15" s="71">
        <v>1</v>
      </c>
      <c r="J15" s="70">
        <v>5</v>
      </c>
      <c r="L15" s="67" t="s">
        <v>120</v>
      </c>
      <c r="M15" s="68" t="s">
        <v>95</v>
      </c>
      <c r="N15" s="68" t="s">
        <v>109</v>
      </c>
      <c r="O15" s="68">
        <v>12</v>
      </c>
      <c r="P15" s="68">
        <f>600/10</f>
        <v>60</v>
      </c>
      <c r="Q15" s="73">
        <v>1</v>
      </c>
      <c r="R15" s="54">
        <f>60/12</f>
        <v>5</v>
      </c>
    </row>
    <row r="16" spans="1:18" ht="19.95" customHeight="1" x14ac:dyDescent="0.35">
      <c r="D16" s="129" t="s">
        <v>103</v>
      </c>
      <c r="E16" s="130"/>
      <c r="F16" s="130"/>
      <c r="G16" s="130"/>
      <c r="H16" s="131"/>
      <c r="I16" s="70">
        <v>1</v>
      </c>
      <c r="J16" s="70">
        <f>SUM(J15:J15)</f>
        <v>5</v>
      </c>
      <c r="L16" s="129" t="s">
        <v>103</v>
      </c>
      <c r="M16" s="130"/>
      <c r="N16" s="130"/>
      <c r="O16" s="130"/>
      <c r="P16" s="131"/>
      <c r="Q16" s="54">
        <v>1</v>
      </c>
      <c r="R16" s="54">
        <f>SUM(R15:R15)</f>
        <v>5</v>
      </c>
    </row>
    <row r="17" spans="4:18" ht="19.95" customHeight="1" x14ac:dyDescent="0.35">
      <c r="D17" s="118" t="s">
        <v>157</v>
      </c>
      <c r="E17" s="118"/>
      <c r="F17" s="118"/>
      <c r="G17" s="118"/>
      <c r="H17" s="118"/>
      <c r="I17" s="118"/>
      <c r="J17" s="118"/>
      <c r="L17" s="119" t="s">
        <v>112</v>
      </c>
      <c r="M17" s="120"/>
      <c r="N17" s="120"/>
      <c r="O17" s="120"/>
      <c r="P17" s="121"/>
      <c r="Q17" s="54">
        <v>2</v>
      </c>
      <c r="R17" s="63">
        <f>R16+R13</f>
        <v>10</v>
      </c>
    </row>
    <row r="18" spans="4:18" ht="60" customHeight="1" x14ac:dyDescent="0.35">
      <c r="D18" s="69" t="s">
        <v>120</v>
      </c>
      <c r="E18" s="64" t="s">
        <v>95</v>
      </c>
      <c r="F18" s="64" t="s">
        <v>109</v>
      </c>
      <c r="G18" s="64">
        <v>12</v>
      </c>
      <c r="H18" s="70">
        <f>57</f>
        <v>57</v>
      </c>
      <c r="I18" s="71">
        <v>1</v>
      </c>
      <c r="J18" s="70">
        <v>5</v>
      </c>
      <c r="L18" s="119" t="s">
        <v>110</v>
      </c>
      <c r="M18" s="120"/>
      <c r="N18" s="120"/>
      <c r="O18" s="120"/>
      <c r="P18" s="121"/>
      <c r="Q18" s="54">
        <v>2</v>
      </c>
      <c r="R18" s="54">
        <f>R17*1.12</f>
        <v>11.200000000000001</v>
      </c>
    </row>
    <row r="19" spans="4:18" ht="19.95" customHeight="1" x14ac:dyDescent="0.35">
      <c r="D19" s="122" t="s">
        <v>103</v>
      </c>
      <c r="E19" s="123"/>
      <c r="F19" s="123"/>
      <c r="G19" s="123"/>
      <c r="H19" s="124"/>
      <c r="I19" s="68">
        <v>1</v>
      </c>
      <c r="J19" s="75">
        <v>5</v>
      </c>
      <c r="L19" s="119" t="s">
        <v>111</v>
      </c>
      <c r="M19" s="120"/>
      <c r="N19" s="120"/>
      <c r="O19" s="120"/>
      <c r="P19" s="121"/>
      <c r="Q19" s="54">
        <v>2</v>
      </c>
      <c r="R19" s="54">
        <v>12</v>
      </c>
    </row>
    <row r="20" spans="4:18" ht="19.95" customHeight="1" x14ac:dyDescent="0.35">
      <c r="D20" s="119" t="s">
        <v>112</v>
      </c>
      <c r="E20" s="120"/>
      <c r="F20" s="120"/>
      <c r="G20" s="120"/>
      <c r="H20" s="121"/>
      <c r="I20" s="70">
        <v>3</v>
      </c>
      <c r="J20" s="63">
        <f>J19+J16+J13</f>
        <v>17</v>
      </c>
    </row>
    <row r="21" spans="4:18" ht="18" customHeight="1" x14ac:dyDescent="0.35">
      <c r="D21" s="119" t="s">
        <v>110</v>
      </c>
      <c r="E21" s="120"/>
      <c r="F21" s="120"/>
      <c r="G21" s="120"/>
      <c r="H21" s="121"/>
      <c r="I21" s="70">
        <v>3</v>
      </c>
      <c r="J21" s="70">
        <f>J20*1.12</f>
        <v>19.040000000000003</v>
      </c>
    </row>
    <row r="22" spans="4:18" ht="18" customHeight="1" x14ac:dyDescent="0.35">
      <c r="D22" s="119" t="s">
        <v>111</v>
      </c>
      <c r="E22" s="120"/>
      <c r="F22" s="120"/>
      <c r="G22" s="120"/>
      <c r="H22" s="121"/>
      <c r="I22" s="70">
        <v>3</v>
      </c>
      <c r="J22" s="70">
        <v>20</v>
      </c>
    </row>
  </sheetData>
  <mergeCells count="30">
    <mergeCell ref="D21:H21"/>
    <mergeCell ref="D22:H22"/>
    <mergeCell ref="L16:P16"/>
    <mergeCell ref="L17:P17"/>
    <mergeCell ref="Q5:R5"/>
    <mergeCell ref="L7:R7"/>
    <mergeCell ref="Q8:Q12"/>
    <mergeCell ref="L13:P13"/>
    <mergeCell ref="L14:R14"/>
    <mergeCell ref="L5:L6"/>
    <mergeCell ref="M5:M6"/>
    <mergeCell ref="N5:N6"/>
    <mergeCell ref="L18:P18"/>
    <mergeCell ref="L19:P19"/>
    <mergeCell ref="D13:H13"/>
    <mergeCell ref="D14:J14"/>
    <mergeCell ref="P5:P6"/>
    <mergeCell ref="D16:H16"/>
    <mergeCell ref="D5:D6"/>
    <mergeCell ref="E5:E6"/>
    <mergeCell ref="F5:F6"/>
    <mergeCell ref="G5:G6"/>
    <mergeCell ref="H5:H6"/>
    <mergeCell ref="O5:O6"/>
    <mergeCell ref="D20:H20"/>
    <mergeCell ref="D19:H19"/>
    <mergeCell ref="D17:J17"/>
    <mergeCell ref="I8:I12"/>
    <mergeCell ref="I5:J5"/>
    <mergeCell ref="D7:J7"/>
  </mergeCells>
  <phoneticPr fontId="13" type="noConversion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3"/>
  <sheetViews>
    <sheetView zoomScale="70" zoomScaleNormal="70" workbookViewId="0">
      <selection activeCell="N1" sqref="N1:N1048576"/>
    </sheetView>
  </sheetViews>
  <sheetFormatPr defaultRowHeight="18" x14ac:dyDescent="0.35"/>
  <cols>
    <col min="2" max="2" width="15.6328125" customWidth="1"/>
    <col min="3" max="3" width="20.6328125" customWidth="1"/>
    <col min="4" max="7" width="15.6328125" customWidth="1"/>
    <col min="13" max="13" width="10.6328125" customWidth="1"/>
    <col min="14" max="14" width="30.6328125" customWidth="1"/>
  </cols>
  <sheetData>
    <row r="1" spans="1:17" x14ac:dyDescent="0.35">
      <c r="A1" t="s">
        <v>141</v>
      </c>
    </row>
    <row r="2" spans="1:17" ht="40.049999999999997" customHeight="1" x14ac:dyDescent="0.35">
      <c r="A2" t="s">
        <v>142</v>
      </c>
      <c r="B2" s="116" t="s">
        <v>121</v>
      </c>
      <c r="C2" s="116" t="s">
        <v>122</v>
      </c>
      <c r="D2" s="116" t="s">
        <v>91</v>
      </c>
      <c r="E2" s="116" t="s">
        <v>26</v>
      </c>
      <c r="F2" s="116" t="s">
        <v>123</v>
      </c>
      <c r="G2" s="116" t="s">
        <v>27</v>
      </c>
      <c r="H2" s="116" t="s">
        <v>93</v>
      </c>
      <c r="I2" s="116"/>
      <c r="J2" s="116"/>
      <c r="L2" s="116" t="s">
        <v>162</v>
      </c>
      <c r="M2" s="154" t="s">
        <v>163</v>
      </c>
      <c r="N2" s="155"/>
      <c r="O2" s="139" t="s">
        <v>164</v>
      </c>
      <c r="P2" s="140"/>
      <c r="Q2" s="141"/>
    </row>
    <row r="3" spans="1:17" ht="19.95" customHeight="1" x14ac:dyDescent="0.35">
      <c r="B3" s="116"/>
      <c r="C3" s="116"/>
      <c r="D3" s="116"/>
      <c r="E3" s="116"/>
      <c r="F3" s="116"/>
      <c r="G3" s="116"/>
      <c r="H3" s="78" t="s">
        <v>94</v>
      </c>
      <c r="I3" s="78" t="s">
        <v>95</v>
      </c>
      <c r="J3" s="78" t="s">
        <v>124</v>
      </c>
      <c r="L3" s="116"/>
      <c r="M3" s="156"/>
      <c r="N3" s="157"/>
      <c r="O3" s="78" t="s">
        <v>94</v>
      </c>
      <c r="P3" s="78" t="s">
        <v>95</v>
      </c>
      <c r="Q3" s="78" t="s">
        <v>124</v>
      </c>
    </row>
    <row r="4" spans="1:17" x14ac:dyDescent="0.35">
      <c r="B4" s="116" t="s">
        <v>169</v>
      </c>
      <c r="C4" s="116"/>
      <c r="D4" s="116"/>
      <c r="E4" s="116"/>
      <c r="F4" s="116"/>
      <c r="G4" s="116"/>
      <c r="H4" s="116"/>
      <c r="I4" s="116"/>
      <c r="J4" s="116"/>
      <c r="L4" s="139">
        <v>3</v>
      </c>
      <c r="M4" s="79">
        <v>6</v>
      </c>
      <c r="N4" s="141" t="s">
        <v>165</v>
      </c>
      <c r="O4" s="128">
        <f>H5+H17+H36+H64+H69</f>
        <v>5</v>
      </c>
      <c r="P4" s="128">
        <f>(I15+I20+I48+I67+I72)*1.12</f>
        <v>35.840000000000003</v>
      </c>
      <c r="Q4" s="128">
        <f>(J15+J20+J48+J67+J72)*1.12</f>
        <v>7.8400000000000007</v>
      </c>
    </row>
    <row r="5" spans="1:17" ht="126" x14ac:dyDescent="0.35">
      <c r="B5" s="116" t="s">
        <v>146</v>
      </c>
      <c r="C5" s="78" t="s">
        <v>125</v>
      </c>
      <c r="D5" s="78" t="s">
        <v>95</v>
      </c>
      <c r="E5" s="78" t="s">
        <v>104</v>
      </c>
      <c r="F5" s="78">
        <v>310</v>
      </c>
      <c r="G5" s="67">
        <f>15*5</f>
        <v>75</v>
      </c>
      <c r="H5" s="128">
        <v>1</v>
      </c>
      <c r="I5" s="78">
        <v>1</v>
      </c>
      <c r="J5" s="78" t="s">
        <v>127</v>
      </c>
      <c r="L5" s="139"/>
      <c r="M5" s="87">
        <v>7</v>
      </c>
      <c r="N5" s="141"/>
      <c r="O5" s="132"/>
      <c r="P5" s="132"/>
      <c r="Q5" s="132"/>
    </row>
    <row r="6" spans="1:17" ht="126" x14ac:dyDescent="0.35">
      <c r="B6" s="116"/>
      <c r="C6" s="78" t="s">
        <v>139</v>
      </c>
      <c r="D6" s="78" t="s">
        <v>95</v>
      </c>
      <c r="E6" s="78" t="s">
        <v>104</v>
      </c>
      <c r="F6" s="78">
        <v>100</v>
      </c>
      <c r="G6" s="67">
        <v>0</v>
      </c>
      <c r="H6" s="132"/>
      <c r="I6" s="78">
        <v>0</v>
      </c>
      <c r="J6" s="78" t="s">
        <v>127</v>
      </c>
      <c r="L6" s="139"/>
      <c r="M6" s="87">
        <v>9</v>
      </c>
      <c r="N6" s="141"/>
      <c r="O6" s="132"/>
      <c r="P6" s="132"/>
      <c r="Q6" s="132"/>
    </row>
    <row r="7" spans="1:17" ht="45" customHeight="1" x14ac:dyDescent="0.35">
      <c r="B7" s="116"/>
      <c r="C7" s="78" t="s">
        <v>126</v>
      </c>
      <c r="D7" s="78" t="s">
        <v>95</v>
      </c>
      <c r="E7" s="78" t="s">
        <v>108</v>
      </c>
      <c r="F7" s="78">
        <v>16</v>
      </c>
      <c r="G7" s="78">
        <f>2*14+4+7</f>
        <v>39</v>
      </c>
      <c r="H7" s="132"/>
      <c r="I7" s="78">
        <v>3</v>
      </c>
      <c r="J7" s="78" t="s">
        <v>127</v>
      </c>
      <c r="L7" s="139"/>
      <c r="M7" s="87">
        <v>11</v>
      </c>
      <c r="N7" s="141"/>
      <c r="O7" s="132"/>
      <c r="P7" s="132"/>
      <c r="Q7" s="132"/>
    </row>
    <row r="8" spans="1:17" ht="45" customHeight="1" x14ac:dyDescent="0.35">
      <c r="B8" s="116"/>
      <c r="C8" s="76" t="s">
        <v>96</v>
      </c>
      <c r="D8" s="76" t="s">
        <v>95</v>
      </c>
      <c r="E8" s="76" t="s">
        <v>130</v>
      </c>
      <c r="F8" s="76">
        <v>2100</v>
      </c>
      <c r="G8" s="76">
        <f>15*15+(2300*0.5)</f>
        <v>1375</v>
      </c>
      <c r="H8" s="132"/>
      <c r="I8" s="78">
        <v>1</v>
      </c>
      <c r="J8" s="78" t="s">
        <v>127</v>
      </c>
      <c r="K8" s="6"/>
      <c r="L8" s="139"/>
      <c r="M8" s="88">
        <v>12</v>
      </c>
      <c r="N8" s="141"/>
      <c r="O8" s="133"/>
      <c r="P8" s="133"/>
      <c r="Q8" s="133"/>
    </row>
    <row r="9" spans="1:17" ht="120" customHeight="1" x14ac:dyDescent="0.35">
      <c r="B9" s="116"/>
      <c r="C9" s="76" t="s">
        <v>143</v>
      </c>
      <c r="D9" s="76" t="s">
        <v>95</v>
      </c>
      <c r="E9" s="76" t="s">
        <v>131</v>
      </c>
      <c r="F9" s="76">
        <v>1450</v>
      </c>
      <c r="G9" s="76">
        <f>1200</f>
        <v>1200</v>
      </c>
      <c r="H9" s="132"/>
      <c r="I9" s="78">
        <v>1</v>
      </c>
      <c r="J9" s="78" t="s">
        <v>127</v>
      </c>
      <c r="K9" s="83"/>
      <c r="L9" s="151" t="s">
        <v>204</v>
      </c>
      <c r="M9" s="152"/>
      <c r="N9" s="151"/>
      <c r="O9" s="78">
        <v>5</v>
      </c>
      <c r="P9" s="78">
        <v>36</v>
      </c>
      <c r="Q9" s="78">
        <v>8</v>
      </c>
    </row>
    <row r="10" spans="1:17" ht="54" x14ac:dyDescent="0.35">
      <c r="B10" s="116"/>
      <c r="C10" s="76" t="s">
        <v>140</v>
      </c>
      <c r="D10" s="76" t="s">
        <v>95</v>
      </c>
      <c r="E10" s="76" t="s">
        <v>132</v>
      </c>
      <c r="F10" s="76">
        <v>16</v>
      </c>
      <c r="G10" s="74">
        <v>6</v>
      </c>
      <c r="H10" s="132"/>
      <c r="I10" s="78">
        <v>1</v>
      </c>
      <c r="J10" s="78" t="s">
        <v>127</v>
      </c>
      <c r="L10" s="145" t="s">
        <v>205</v>
      </c>
      <c r="M10" s="158"/>
      <c r="N10" s="147"/>
      <c r="O10" s="139">
        <f>O9+P9+Q9</f>
        <v>49</v>
      </c>
      <c r="P10" s="140"/>
      <c r="Q10" s="141"/>
    </row>
    <row r="11" spans="1:17" ht="19.95" customHeight="1" x14ac:dyDescent="0.35">
      <c r="B11" s="116"/>
      <c r="C11" s="106" t="s">
        <v>135</v>
      </c>
      <c r="D11" s="76" t="s">
        <v>95</v>
      </c>
      <c r="E11" s="76" t="s">
        <v>134</v>
      </c>
      <c r="F11" s="76">
        <v>3700</v>
      </c>
      <c r="G11" s="76">
        <f>8+42</f>
        <v>50</v>
      </c>
      <c r="H11" s="132"/>
      <c r="I11" s="78">
        <v>1</v>
      </c>
      <c r="J11" s="78" t="s">
        <v>127</v>
      </c>
      <c r="L11" s="139">
        <v>4</v>
      </c>
      <c r="M11" s="79">
        <v>8</v>
      </c>
      <c r="N11" s="141" t="s">
        <v>166</v>
      </c>
      <c r="O11" s="128">
        <f>H34+H62+H77</f>
        <v>3</v>
      </c>
      <c r="P11" s="128">
        <f t="shared" ref="P11" si="0">(I34+I62+I77)*1.12</f>
        <v>22.400000000000002</v>
      </c>
      <c r="Q11" s="128">
        <f>(J34+J62+J77)*1.12</f>
        <v>4.4800000000000004</v>
      </c>
    </row>
    <row r="12" spans="1:17" ht="18.600000000000001" customHeight="1" x14ac:dyDescent="0.35">
      <c r="B12" s="116"/>
      <c r="C12" s="107"/>
      <c r="D12" s="77" t="s">
        <v>124</v>
      </c>
      <c r="E12" s="76" t="s">
        <v>134</v>
      </c>
      <c r="F12" s="77">
        <v>4950</v>
      </c>
      <c r="G12" s="76">
        <f>8+42</f>
        <v>50</v>
      </c>
      <c r="H12" s="132"/>
      <c r="I12" s="78" t="s">
        <v>127</v>
      </c>
      <c r="J12" s="45">
        <v>1</v>
      </c>
      <c r="L12" s="139"/>
      <c r="M12" s="87">
        <v>10</v>
      </c>
      <c r="N12" s="141"/>
      <c r="O12" s="132"/>
      <c r="P12" s="132"/>
      <c r="Q12" s="132"/>
    </row>
    <row r="13" spans="1:17" ht="18" customHeight="1" x14ac:dyDescent="0.35">
      <c r="B13" s="116"/>
      <c r="C13" s="106" t="s">
        <v>133</v>
      </c>
      <c r="D13" s="76" t="s">
        <v>95</v>
      </c>
      <c r="E13" s="76" t="s">
        <v>134</v>
      </c>
      <c r="F13" s="76">
        <v>3100</v>
      </c>
      <c r="G13" s="76">
        <v>0</v>
      </c>
      <c r="H13" s="132"/>
      <c r="I13" s="78">
        <v>0</v>
      </c>
      <c r="J13" s="78" t="s">
        <v>127</v>
      </c>
      <c r="L13" s="139"/>
      <c r="M13" s="88">
        <v>13</v>
      </c>
      <c r="N13" s="141"/>
      <c r="O13" s="133"/>
      <c r="P13" s="133"/>
      <c r="Q13" s="133"/>
    </row>
    <row r="14" spans="1:17" ht="54" customHeight="1" x14ac:dyDescent="0.35">
      <c r="B14" s="116"/>
      <c r="C14" s="107"/>
      <c r="D14" s="77" t="s">
        <v>124</v>
      </c>
      <c r="E14" s="76" t="s">
        <v>134</v>
      </c>
      <c r="F14" s="77">
        <v>4600</v>
      </c>
      <c r="G14" s="76">
        <v>0</v>
      </c>
      <c r="H14" s="133"/>
      <c r="I14" s="78" t="s">
        <v>127</v>
      </c>
      <c r="J14" s="45">
        <v>0</v>
      </c>
      <c r="L14" s="145" t="s">
        <v>206</v>
      </c>
      <c r="M14" s="153"/>
      <c r="N14" s="147"/>
      <c r="O14" s="78">
        <v>3</v>
      </c>
      <c r="P14" s="78">
        <v>23</v>
      </c>
      <c r="Q14" s="78">
        <v>5</v>
      </c>
    </row>
    <row r="15" spans="1:17" ht="18" customHeight="1" x14ac:dyDescent="0.35">
      <c r="B15" s="134" t="s">
        <v>128</v>
      </c>
      <c r="C15" s="135"/>
      <c r="D15" s="135"/>
      <c r="E15" s="135"/>
      <c r="F15" s="135"/>
      <c r="G15" s="136"/>
      <c r="H15" s="17">
        <v>1</v>
      </c>
      <c r="I15" s="78">
        <f>SUM(I5:I14)</f>
        <v>8</v>
      </c>
      <c r="J15" s="79">
        <f>SUM(J5:J14)</f>
        <v>1</v>
      </c>
      <c r="L15" s="145" t="s">
        <v>207</v>
      </c>
      <c r="M15" s="146"/>
      <c r="N15" s="147"/>
      <c r="O15" s="139">
        <f>O14+P14+Q14</f>
        <v>31</v>
      </c>
      <c r="P15" s="140"/>
      <c r="Q15" s="141"/>
    </row>
    <row r="16" spans="1:17" ht="18" customHeight="1" x14ac:dyDescent="0.35">
      <c r="B16" s="104" t="s">
        <v>170</v>
      </c>
      <c r="C16" s="137"/>
      <c r="D16" s="137"/>
      <c r="E16" s="137"/>
      <c r="F16" s="137"/>
      <c r="G16" s="137"/>
      <c r="H16" s="137"/>
      <c r="I16" s="137"/>
      <c r="J16" s="105"/>
      <c r="L16" s="56"/>
      <c r="M16" s="56"/>
      <c r="N16" s="56"/>
      <c r="O16" s="56"/>
      <c r="P16" s="56"/>
      <c r="Q16" s="56"/>
    </row>
    <row r="17" spans="2:10" ht="18" customHeight="1" x14ac:dyDescent="0.35">
      <c r="B17" s="116" t="s">
        <v>146</v>
      </c>
      <c r="C17" s="106" t="s">
        <v>144</v>
      </c>
      <c r="D17" s="76" t="s">
        <v>95</v>
      </c>
      <c r="E17" s="76" t="s">
        <v>145</v>
      </c>
      <c r="F17" s="76">
        <v>150</v>
      </c>
      <c r="G17" s="76">
        <v>493</v>
      </c>
      <c r="H17" s="106">
        <v>1</v>
      </c>
      <c r="I17" s="78">
        <v>4</v>
      </c>
      <c r="J17" s="78" t="s">
        <v>127</v>
      </c>
    </row>
    <row r="18" spans="2:10" ht="18" customHeight="1" x14ac:dyDescent="0.35">
      <c r="B18" s="116"/>
      <c r="C18" s="107"/>
      <c r="D18" s="77" t="s">
        <v>124</v>
      </c>
      <c r="E18" s="76" t="s">
        <v>145</v>
      </c>
      <c r="F18" s="77">
        <v>140</v>
      </c>
      <c r="G18" s="76">
        <v>493</v>
      </c>
      <c r="H18" s="138"/>
      <c r="I18" s="78" t="s">
        <v>127</v>
      </c>
      <c r="J18" s="45">
        <v>4</v>
      </c>
    </row>
    <row r="19" spans="2:10" x14ac:dyDescent="0.35">
      <c r="B19" s="116"/>
      <c r="C19" s="76" t="s">
        <v>136</v>
      </c>
      <c r="D19" s="76" t="s">
        <v>95</v>
      </c>
      <c r="E19" s="76" t="s">
        <v>137</v>
      </c>
      <c r="F19" s="76">
        <v>1000</v>
      </c>
      <c r="G19" s="76">
        <v>493</v>
      </c>
      <c r="H19" s="107"/>
      <c r="I19" s="78">
        <v>1</v>
      </c>
      <c r="J19" s="84" t="s">
        <v>127</v>
      </c>
    </row>
    <row r="20" spans="2:10" ht="18" customHeight="1" x14ac:dyDescent="0.35">
      <c r="B20" s="134" t="s">
        <v>128</v>
      </c>
      <c r="C20" s="135"/>
      <c r="D20" s="135"/>
      <c r="E20" s="135"/>
      <c r="F20" s="135"/>
      <c r="G20" s="136"/>
      <c r="H20" s="78">
        <v>1</v>
      </c>
      <c r="I20" s="78">
        <f>SUM(I17:I19)</f>
        <v>5</v>
      </c>
      <c r="J20" s="78">
        <f>SUM(J17:J19)</f>
        <v>4</v>
      </c>
    </row>
    <row r="21" spans="2:10" ht="18" customHeight="1" x14ac:dyDescent="0.35">
      <c r="B21" s="139" t="s">
        <v>171</v>
      </c>
      <c r="C21" s="140"/>
      <c r="D21" s="140"/>
      <c r="E21" s="140"/>
      <c r="F21" s="140"/>
      <c r="G21" s="140"/>
      <c r="H21" s="140"/>
      <c r="I21" s="140"/>
      <c r="J21" s="141"/>
    </row>
    <row r="22" spans="2:10" ht="126" customHeight="1" x14ac:dyDescent="0.35">
      <c r="B22" s="128" t="s">
        <v>151</v>
      </c>
      <c r="C22" s="78" t="s">
        <v>125</v>
      </c>
      <c r="D22" s="78" t="s">
        <v>95</v>
      </c>
      <c r="E22" s="78" t="s">
        <v>104</v>
      </c>
      <c r="F22" s="78">
        <v>325</v>
      </c>
      <c r="G22" s="78">
        <f>4*11</f>
        <v>44</v>
      </c>
      <c r="H22" s="128">
        <v>1</v>
      </c>
      <c r="I22" s="45">
        <v>1</v>
      </c>
      <c r="J22" s="85" t="s">
        <v>127</v>
      </c>
    </row>
    <row r="23" spans="2:10" ht="126" customHeight="1" x14ac:dyDescent="0.35">
      <c r="B23" s="132"/>
      <c r="C23" s="78" t="s">
        <v>139</v>
      </c>
      <c r="D23" s="78" t="s">
        <v>95</v>
      </c>
      <c r="E23" s="78" t="s">
        <v>104</v>
      </c>
      <c r="F23" s="78">
        <v>105</v>
      </c>
      <c r="G23" s="78">
        <v>0</v>
      </c>
      <c r="H23" s="132"/>
      <c r="I23" s="45">
        <v>0</v>
      </c>
      <c r="J23" s="86" t="s">
        <v>127</v>
      </c>
    </row>
    <row r="24" spans="2:10" ht="45" customHeight="1" x14ac:dyDescent="0.35">
      <c r="B24" s="132"/>
      <c r="C24" s="78" t="s">
        <v>126</v>
      </c>
      <c r="D24" s="78" t="s">
        <v>95</v>
      </c>
      <c r="E24" s="78" t="s">
        <v>108</v>
      </c>
      <c r="F24" s="78">
        <v>16</v>
      </c>
      <c r="G24" s="78">
        <f>4+10*2</f>
        <v>24</v>
      </c>
      <c r="H24" s="132"/>
      <c r="I24" s="45">
        <v>2</v>
      </c>
      <c r="J24" s="86" t="s">
        <v>127</v>
      </c>
    </row>
    <row r="25" spans="2:10" ht="45" customHeight="1" x14ac:dyDescent="0.35">
      <c r="B25" s="132"/>
      <c r="C25" s="76" t="s">
        <v>96</v>
      </c>
      <c r="D25" s="76" t="s">
        <v>95</v>
      </c>
      <c r="E25" s="76" t="s">
        <v>130</v>
      </c>
      <c r="F25" s="45">
        <v>2100</v>
      </c>
      <c r="G25" s="45">
        <f>1200*0.5+12*10</f>
        <v>720</v>
      </c>
      <c r="H25" s="132"/>
      <c r="I25" s="45">
        <v>1</v>
      </c>
      <c r="J25" s="86" t="s">
        <v>127</v>
      </c>
    </row>
    <row r="26" spans="2:10" ht="120" customHeight="1" x14ac:dyDescent="0.35">
      <c r="B26" s="132"/>
      <c r="C26" s="76" t="s">
        <v>143</v>
      </c>
      <c r="D26" s="76" t="s">
        <v>95</v>
      </c>
      <c r="E26" s="76" t="s">
        <v>131</v>
      </c>
      <c r="F26" s="78">
        <v>1500</v>
      </c>
      <c r="G26" s="78">
        <v>700</v>
      </c>
      <c r="H26" s="132"/>
      <c r="I26" s="45">
        <v>1</v>
      </c>
      <c r="J26" s="86" t="s">
        <v>127</v>
      </c>
    </row>
    <row r="27" spans="2:10" ht="72" customHeight="1" x14ac:dyDescent="0.35">
      <c r="B27" s="132"/>
      <c r="C27" s="76" t="s">
        <v>140</v>
      </c>
      <c r="D27" s="76" t="s">
        <v>95</v>
      </c>
      <c r="E27" s="76" t="s">
        <v>132</v>
      </c>
      <c r="F27" s="78">
        <v>17</v>
      </c>
      <c r="G27" s="78">
        <v>3</v>
      </c>
      <c r="H27" s="132"/>
      <c r="I27" s="45">
        <v>1</v>
      </c>
      <c r="J27" s="86" t="s">
        <v>127</v>
      </c>
    </row>
    <row r="28" spans="2:10" x14ac:dyDescent="0.35">
      <c r="B28" s="132"/>
      <c r="C28" s="106" t="s">
        <v>135</v>
      </c>
      <c r="D28" s="76" t="s">
        <v>95</v>
      </c>
      <c r="E28" s="76" t="s">
        <v>134</v>
      </c>
      <c r="F28" s="78">
        <v>3750</v>
      </c>
      <c r="G28" s="78">
        <f>4+30</f>
        <v>34</v>
      </c>
      <c r="H28" s="132"/>
      <c r="I28" s="45">
        <v>1</v>
      </c>
      <c r="J28" s="86" t="s">
        <v>127</v>
      </c>
    </row>
    <row r="29" spans="2:10" ht="18" customHeight="1" x14ac:dyDescent="0.35">
      <c r="B29" s="132"/>
      <c r="C29" s="107"/>
      <c r="D29" s="77" t="s">
        <v>124</v>
      </c>
      <c r="E29" s="76" t="s">
        <v>134</v>
      </c>
      <c r="F29" s="78">
        <v>5000</v>
      </c>
      <c r="G29" s="78">
        <f>4+30</f>
        <v>34</v>
      </c>
      <c r="H29" s="132"/>
      <c r="I29" s="86" t="s">
        <v>127</v>
      </c>
      <c r="J29" s="45">
        <v>1</v>
      </c>
    </row>
    <row r="30" spans="2:10" ht="18" customHeight="1" x14ac:dyDescent="0.35">
      <c r="B30" s="132"/>
      <c r="C30" s="106" t="s">
        <v>133</v>
      </c>
      <c r="D30" s="76" t="s">
        <v>95</v>
      </c>
      <c r="E30" s="76" t="s">
        <v>134</v>
      </c>
      <c r="F30" s="78">
        <v>3200</v>
      </c>
      <c r="G30" s="78">
        <v>348</v>
      </c>
      <c r="H30" s="132"/>
      <c r="I30" s="45">
        <v>1</v>
      </c>
      <c r="J30" s="86" t="s">
        <v>127</v>
      </c>
    </row>
    <row r="31" spans="2:10" x14ac:dyDescent="0.35">
      <c r="B31" s="132"/>
      <c r="C31" s="107"/>
      <c r="D31" s="77" t="s">
        <v>124</v>
      </c>
      <c r="E31" s="76" t="s">
        <v>134</v>
      </c>
      <c r="F31" s="78">
        <v>4700</v>
      </c>
      <c r="G31" s="78">
        <v>348</v>
      </c>
      <c r="H31" s="132"/>
      <c r="I31" s="86" t="s">
        <v>127</v>
      </c>
      <c r="J31" s="45">
        <v>1</v>
      </c>
    </row>
    <row r="32" spans="2:10" ht="18" customHeight="1" x14ac:dyDescent="0.35">
      <c r="B32" s="132"/>
      <c r="C32" s="106" t="s">
        <v>144</v>
      </c>
      <c r="D32" s="76" t="s">
        <v>95</v>
      </c>
      <c r="E32" s="76" t="s">
        <v>145</v>
      </c>
      <c r="F32" s="78">
        <v>155</v>
      </c>
      <c r="G32" s="78">
        <v>0</v>
      </c>
      <c r="H32" s="132"/>
      <c r="I32" s="45">
        <f t="shared" ref="I32" si="1">G32/F32</f>
        <v>0</v>
      </c>
      <c r="J32" s="86" t="s">
        <v>127</v>
      </c>
    </row>
    <row r="33" spans="2:10" ht="18" customHeight="1" x14ac:dyDescent="0.35">
      <c r="B33" s="133"/>
      <c r="C33" s="107"/>
      <c r="D33" s="77" t="s">
        <v>124</v>
      </c>
      <c r="E33" s="76" t="s">
        <v>145</v>
      </c>
      <c r="F33" s="78">
        <v>145</v>
      </c>
      <c r="G33" s="78">
        <v>0</v>
      </c>
      <c r="H33" s="133"/>
      <c r="I33" s="86" t="s">
        <v>127</v>
      </c>
      <c r="J33" s="45">
        <f>G33/F33</f>
        <v>0</v>
      </c>
    </row>
    <row r="34" spans="2:10" ht="18" customHeight="1" x14ac:dyDescent="0.35">
      <c r="B34" s="134" t="s">
        <v>128</v>
      </c>
      <c r="C34" s="135"/>
      <c r="D34" s="135"/>
      <c r="E34" s="135"/>
      <c r="F34" s="135"/>
      <c r="G34" s="136"/>
      <c r="H34" s="78">
        <v>1</v>
      </c>
      <c r="I34" s="45">
        <f>SUM(I22:I33)</f>
        <v>8</v>
      </c>
      <c r="J34" s="45">
        <f>SUM(J22:J33)</f>
        <v>2</v>
      </c>
    </row>
    <row r="35" spans="2:10" ht="18" customHeight="1" x14ac:dyDescent="0.35">
      <c r="B35" s="139" t="s">
        <v>167</v>
      </c>
      <c r="C35" s="140"/>
      <c r="D35" s="140"/>
      <c r="E35" s="140"/>
      <c r="F35" s="140"/>
      <c r="G35" s="140"/>
      <c r="H35" s="140"/>
      <c r="I35" s="140"/>
      <c r="J35" s="141"/>
    </row>
    <row r="36" spans="2:10" ht="126" customHeight="1" x14ac:dyDescent="0.35">
      <c r="B36" s="128" t="s">
        <v>160</v>
      </c>
      <c r="C36" s="78" t="s">
        <v>125</v>
      </c>
      <c r="D36" s="78" t="s">
        <v>95</v>
      </c>
      <c r="E36" s="78" t="s">
        <v>104</v>
      </c>
      <c r="F36" s="45">
        <v>355</v>
      </c>
      <c r="G36" s="78">
        <v>0</v>
      </c>
      <c r="H36" s="128">
        <v>1</v>
      </c>
      <c r="I36" s="45">
        <v>0</v>
      </c>
      <c r="J36" s="86" t="s">
        <v>127</v>
      </c>
    </row>
    <row r="37" spans="2:10" ht="126" customHeight="1" x14ac:dyDescent="0.35">
      <c r="B37" s="132"/>
      <c r="C37" s="78" t="s">
        <v>139</v>
      </c>
      <c r="D37" s="78" t="s">
        <v>95</v>
      </c>
      <c r="E37" s="78" t="s">
        <v>104</v>
      </c>
      <c r="F37" s="45">
        <v>115</v>
      </c>
      <c r="G37" s="78">
        <f>2*2</f>
        <v>4</v>
      </c>
      <c r="H37" s="132"/>
      <c r="I37" s="45">
        <v>1</v>
      </c>
      <c r="J37" s="86" t="s">
        <v>127</v>
      </c>
    </row>
    <row r="38" spans="2:10" ht="45" customHeight="1" x14ac:dyDescent="0.35">
      <c r="B38" s="132"/>
      <c r="C38" s="78" t="s">
        <v>126</v>
      </c>
      <c r="D38" s="78" t="s">
        <v>95</v>
      </c>
      <c r="E38" s="78" t="s">
        <v>108</v>
      </c>
      <c r="F38" s="45">
        <v>16</v>
      </c>
      <c r="G38" s="78">
        <f>2*2</f>
        <v>4</v>
      </c>
      <c r="H38" s="132"/>
      <c r="I38" s="45">
        <v>1</v>
      </c>
      <c r="J38" s="86" t="s">
        <v>127</v>
      </c>
    </row>
    <row r="39" spans="2:10" ht="45" customHeight="1" x14ac:dyDescent="0.35">
      <c r="B39" s="132"/>
      <c r="C39" s="76" t="s">
        <v>96</v>
      </c>
      <c r="D39" s="76" t="s">
        <v>95</v>
      </c>
      <c r="E39" s="76" t="s">
        <v>130</v>
      </c>
      <c r="F39" s="45">
        <v>2100</v>
      </c>
      <c r="G39" s="45">
        <f>5*2</f>
        <v>10</v>
      </c>
      <c r="H39" s="132"/>
      <c r="I39" s="45">
        <v>1</v>
      </c>
      <c r="J39" s="86" t="s">
        <v>127</v>
      </c>
    </row>
    <row r="40" spans="2:10" ht="108" x14ac:dyDescent="0.35">
      <c r="B40" s="132"/>
      <c r="C40" s="76" t="s">
        <v>143</v>
      </c>
      <c r="D40" s="76" t="s">
        <v>95</v>
      </c>
      <c r="E40" s="76" t="s">
        <v>131</v>
      </c>
      <c r="F40" s="78">
        <v>1600</v>
      </c>
      <c r="G40" s="78">
        <v>0</v>
      </c>
      <c r="H40" s="132"/>
      <c r="I40" s="45">
        <f t="shared" ref="I40:I46" si="2">G40/F40</f>
        <v>0</v>
      </c>
      <c r="J40" s="86" t="s">
        <v>127</v>
      </c>
    </row>
    <row r="41" spans="2:10" ht="54" x14ac:dyDescent="0.35">
      <c r="B41" s="132"/>
      <c r="C41" s="76" t="s">
        <v>140</v>
      </c>
      <c r="D41" s="76" t="s">
        <v>95</v>
      </c>
      <c r="E41" s="76" t="s">
        <v>132</v>
      </c>
      <c r="F41" s="78">
        <v>19</v>
      </c>
      <c r="G41" s="78">
        <v>0</v>
      </c>
      <c r="H41" s="132"/>
      <c r="I41" s="45">
        <f t="shared" si="2"/>
        <v>0</v>
      </c>
      <c r="J41" s="86" t="s">
        <v>127</v>
      </c>
    </row>
    <row r="42" spans="2:10" x14ac:dyDescent="0.35">
      <c r="B42" s="132"/>
      <c r="C42" s="106" t="s">
        <v>135</v>
      </c>
      <c r="D42" s="76" t="s">
        <v>95</v>
      </c>
      <c r="E42" s="76" t="s">
        <v>134</v>
      </c>
      <c r="F42" s="78">
        <v>3800</v>
      </c>
      <c r="G42" s="78">
        <f>3*2</f>
        <v>6</v>
      </c>
      <c r="H42" s="132"/>
      <c r="I42" s="45">
        <v>1</v>
      </c>
      <c r="J42" s="86" t="s">
        <v>127</v>
      </c>
    </row>
    <row r="43" spans="2:10" ht="18" customHeight="1" x14ac:dyDescent="0.35">
      <c r="B43" s="132"/>
      <c r="C43" s="107"/>
      <c r="D43" s="77" t="s">
        <v>124</v>
      </c>
      <c r="E43" s="76" t="s">
        <v>134</v>
      </c>
      <c r="F43" s="78">
        <v>5050</v>
      </c>
      <c r="G43" s="78">
        <f>3*2</f>
        <v>6</v>
      </c>
      <c r="H43" s="132"/>
      <c r="I43" s="86" t="s">
        <v>127</v>
      </c>
      <c r="J43" s="45">
        <v>1</v>
      </c>
    </row>
    <row r="44" spans="2:10" x14ac:dyDescent="0.35">
      <c r="B44" s="132"/>
      <c r="C44" s="106" t="s">
        <v>133</v>
      </c>
      <c r="D44" s="76" t="s">
        <v>95</v>
      </c>
      <c r="E44" s="76" t="s">
        <v>134</v>
      </c>
      <c r="F44" s="78">
        <v>3300</v>
      </c>
      <c r="G44" s="78">
        <f>39*2</f>
        <v>78</v>
      </c>
      <c r="H44" s="132"/>
      <c r="I44" s="45">
        <v>1</v>
      </c>
      <c r="J44" s="86" t="s">
        <v>127</v>
      </c>
    </row>
    <row r="45" spans="2:10" x14ac:dyDescent="0.35">
      <c r="B45" s="132"/>
      <c r="C45" s="107"/>
      <c r="D45" s="77" t="s">
        <v>124</v>
      </c>
      <c r="E45" s="76" t="s">
        <v>134</v>
      </c>
      <c r="F45" s="78">
        <v>4800</v>
      </c>
      <c r="G45" s="78">
        <f>39*2</f>
        <v>78</v>
      </c>
      <c r="H45" s="132"/>
      <c r="I45" s="86" t="s">
        <v>127</v>
      </c>
      <c r="J45" s="45">
        <v>1</v>
      </c>
    </row>
    <row r="46" spans="2:10" x14ac:dyDescent="0.35">
      <c r="B46" s="132"/>
      <c r="C46" s="106" t="s">
        <v>144</v>
      </c>
      <c r="D46" s="76" t="s">
        <v>95</v>
      </c>
      <c r="E46" s="76" t="s">
        <v>145</v>
      </c>
      <c r="F46" s="78">
        <v>165</v>
      </c>
      <c r="G46" s="78">
        <v>0</v>
      </c>
      <c r="H46" s="132"/>
      <c r="I46" s="45">
        <f t="shared" si="2"/>
        <v>0</v>
      </c>
      <c r="J46" s="86" t="s">
        <v>127</v>
      </c>
    </row>
    <row r="47" spans="2:10" x14ac:dyDescent="0.35">
      <c r="B47" s="133"/>
      <c r="C47" s="107"/>
      <c r="D47" s="77" t="s">
        <v>124</v>
      </c>
      <c r="E47" s="76" t="s">
        <v>145</v>
      </c>
      <c r="F47" s="78">
        <v>155</v>
      </c>
      <c r="G47" s="78">
        <v>0</v>
      </c>
      <c r="H47" s="133"/>
      <c r="I47" s="86" t="s">
        <v>127</v>
      </c>
      <c r="J47" s="45">
        <f>G47/F47</f>
        <v>0</v>
      </c>
    </row>
    <row r="48" spans="2:10" ht="18" customHeight="1" x14ac:dyDescent="0.35">
      <c r="B48" s="134" t="s">
        <v>128</v>
      </c>
      <c r="C48" s="135"/>
      <c r="D48" s="135"/>
      <c r="E48" s="135"/>
      <c r="F48" s="135"/>
      <c r="G48" s="136"/>
      <c r="H48" s="78">
        <v>1</v>
      </c>
      <c r="I48" s="78">
        <f>SUM(I36:I47)</f>
        <v>5</v>
      </c>
      <c r="J48" s="78">
        <f>SUM(J36:J47)</f>
        <v>2</v>
      </c>
    </row>
    <row r="49" spans="2:10" ht="18" customHeight="1" x14ac:dyDescent="0.35">
      <c r="B49" s="139" t="s">
        <v>168</v>
      </c>
      <c r="C49" s="140"/>
      <c r="D49" s="140"/>
      <c r="E49" s="140"/>
      <c r="F49" s="140"/>
      <c r="G49" s="140"/>
      <c r="H49" s="140"/>
      <c r="I49" s="140"/>
      <c r="J49" s="141"/>
    </row>
    <row r="50" spans="2:10" ht="126" x14ac:dyDescent="0.35">
      <c r="B50" s="128" t="s">
        <v>161</v>
      </c>
      <c r="C50" s="78" t="s">
        <v>125</v>
      </c>
      <c r="D50" s="78" t="s">
        <v>95</v>
      </c>
      <c r="E50" s="78" t="s">
        <v>104</v>
      </c>
      <c r="F50" s="45">
        <v>355</v>
      </c>
      <c r="G50" s="78">
        <v>0</v>
      </c>
      <c r="H50" s="128">
        <v>1</v>
      </c>
      <c r="I50" s="45">
        <v>0</v>
      </c>
      <c r="J50" s="86" t="s">
        <v>127</v>
      </c>
    </row>
    <row r="51" spans="2:10" ht="126" x14ac:dyDescent="0.35">
      <c r="B51" s="132"/>
      <c r="C51" s="78" t="s">
        <v>139</v>
      </c>
      <c r="D51" s="78" t="s">
        <v>95</v>
      </c>
      <c r="E51" s="78" t="s">
        <v>104</v>
      </c>
      <c r="F51" s="45">
        <v>115</v>
      </c>
      <c r="G51" s="78">
        <f>2*5</f>
        <v>10</v>
      </c>
      <c r="H51" s="132"/>
      <c r="I51" s="45">
        <v>1</v>
      </c>
      <c r="J51" s="86" t="s">
        <v>127</v>
      </c>
    </row>
    <row r="52" spans="2:10" ht="36" x14ac:dyDescent="0.35">
      <c r="B52" s="132"/>
      <c r="C52" s="78" t="s">
        <v>126</v>
      </c>
      <c r="D52" s="78" t="s">
        <v>95</v>
      </c>
      <c r="E52" s="78" t="s">
        <v>108</v>
      </c>
      <c r="F52" s="45">
        <v>16</v>
      </c>
      <c r="G52" s="78">
        <f>2*5</f>
        <v>10</v>
      </c>
      <c r="H52" s="132"/>
      <c r="I52" s="45">
        <v>1</v>
      </c>
      <c r="J52" s="86" t="s">
        <v>127</v>
      </c>
    </row>
    <row r="53" spans="2:10" ht="18" customHeight="1" x14ac:dyDescent="0.35">
      <c r="B53" s="132"/>
      <c r="C53" s="76" t="s">
        <v>96</v>
      </c>
      <c r="D53" s="76" t="s">
        <v>95</v>
      </c>
      <c r="E53" s="76" t="s">
        <v>130</v>
      </c>
      <c r="F53" s="45">
        <v>2100</v>
      </c>
      <c r="G53" s="45">
        <f>5*5</f>
        <v>25</v>
      </c>
      <c r="H53" s="132"/>
      <c r="I53" s="45">
        <v>1</v>
      </c>
      <c r="J53" s="86" t="s">
        <v>127</v>
      </c>
    </row>
    <row r="54" spans="2:10" ht="120" customHeight="1" x14ac:dyDescent="0.35">
      <c r="B54" s="132"/>
      <c r="C54" s="76" t="s">
        <v>143</v>
      </c>
      <c r="D54" s="76" t="s">
        <v>95</v>
      </c>
      <c r="E54" s="76" t="s">
        <v>131</v>
      </c>
      <c r="F54" s="78">
        <v>1600</v>
      </c>
      <c r="G54" s="78">
        <v>0</v>
      </c>
      <c r="H54" s="132"/>
      <c r="I54" s="45">
        <f t="shared" ref="I54:I55" si="3">G54/F54</f>
        <v>0</v>
      </c>
      <c r="J54" s="86" t="s">
        <v>127</v>
      </c>
    </row>
    <row r="55" spans="2:10" ht="54" x14ac:dyDescent="0.35">
      <c r="B55" s="132"/>
      <c r="C55" s="76" t="s">
        <v>140</v>
      </c>
      <c r="D55" s="76" t="s">
        <v>95</v>
      </c>
      <c r="E55" s="76" t="s">
        <v>132</v>
      </c>
      <c r="F55" s="78">
        <v>19</v>
      </c>
      <c r="G55" s="78">
        <v>0</v>
      </c>
      <c r="H55" s="132"/>
      <c r="I55" s="45">
        <f t="shared" si="3"/>
        <v>0</v>
      </c>
      <c r="J55" s="86" t="s">
        <v>127</v>
      </c>
    </row>
    <row r="56" spans="2:10" x14ac:dyDescent="0.35">
      <c r="B56" s="132"/>
      <c r="C56" s="106" t="s">
        <v>135</v>
      </c>
      <c r="D56" s="76" t="s">
        <v>95</v>
      </c>
      <c r="E56" s="76" t="s">
        <v>134</v>
      </c>
      <c r="F56" s="78">
        <v>3800</v>
      </c>
      <c r="G56" s="78">
        <f>3*5</f>
        <v>15</v>
      </c>
      <c r="H56" s="132"/>
      <c r="I56" s="45">
        <v>1</v>
      </c>
      <c r="J56" s="86" t="s">
        <v>127</v>
      </c>
    </row>
    <row r="57" spans="2:10" x14ac:dyDescent="0.35">
      <c r="B57" s="132"/>
      <c r="C57" s="107"/>
      <c r="D57" s="77" t="s">
        <v>124</v>
      </c>
      <c r="E57" s="76" t="s">
        <v>134</v>
      </c>
      <c r="F57" s="78">
        <v>5050</v>
      </c>
      <c r="G57" s="78">
        <f>3*5</f>
        <v>15</v>
      </c>
      <c r="H57" s="132"/>
      <c r="I57" s="86" t="s">
        <v>127</v>
      </c>
      <c r="J57" s="45">
        <v>1</v>
      </c>
    </row>
    <row r="58" spans="2:10" ht="18" customHeight="1" x14ac:dyDescent="0.35">
      <c r="B58" s="132"/>
      <c r="C58" s="106" t="s">
        <v>133</v>
      </c>
      <c r="D58" s="76" t="s">
        <v>95</v>
      </c>
      <c r="E58" s="76" t="s">
        <v>134</v>
      </c>
      <c r="F58" s="78">
        <v>3300</v>
      </c>
      <c r="G58" s="78">
        <f>39*5</f>
        <v>195</v>
      </c>
      <c r="H58" s="132"/>
      <c r="I58" s="45">
        <v>1</v>
      </c>
      <c r="J58" s="86" t="s">
        <v>127</v>
      </c>
    </row>
    <row r="59" spans="2:10" ht="18" customHeight="1" x14ac:dyDescent="0.35">
      <c r="B59" s="132"/>
      <c r="C59" s="107"/>
      <c r="D59" s="77" t="s">
        <v>124</v>
      </c>
      <c r="E59" s="76" t="s">
        <v>134</v>
      </c>
      <c r="F59" s="78">
        <v>4800</v>
      </c>
      <c r="G59" s="78">
        <f>39*5</f>
        <v>195</v>
      </c>
      <c r="H59" s="132"/>
      <c r="I59" s="86" t="s">
        <v>127</v>
      </c>
      <c r="J59" s="45">
        <v>1</v>
      </c>
    </row>
    <row r="60" spans="2:10" x14ac:dyDescent="0.35">
      <c r="B60" s="132"/>
      <c r="C60" s="106" t="s">
        <v>144</v>
      </c>
      <c r="D60" s="76" t="s">
        <v>95</v>
      </c>
      <c r="E60" s="76" t="s">
        <v>145</v>
      </c>
      <c r="F60" s="78">
        <v>165</v>
      </c>
      <c r="G60" s="78">
        <v>0</v>
      </c>
      <c r="H60" s="132"/>
      <c r="I60" s="45">
        <f t="shared" ref="I60" si="4">G60/F60</f>
        <v>0</v>
      </c>
      <c r="J60" s="86" t="s">
        <v>127</v>
      </c>
    </row>
    <row r="61" spans="2:10" x14ac:dyDescent="0.35">
      <c r="B61" s="133"/>
      <c r="C61" s="107"/>
      <c r="D61" s="77" t="s">
        <v>124</v>
      </c>
      <c r="E61" s="76" t="s">
        <v>145</v>
      </c>
      <c r="F61" s="78">
        <v>155</v>
      </c>
      <c r="G61" s="78">
        <v>0</v>
      </c>
      <c r="H61" s="133"/>
      <c r="I61" s="86" t="s">
        <v>127</v>
      </c>
      <c r="J61" s="45">
        <f>G61/F61</f>
        <v>0</v>
      </c>
    </row>
    <row r="62" spans="2:10" x14ac:dyDescent="0.35">
      <c r="B62" s="134" t="s">
        <v>128</v>
      </c>
      <c r="C62" s="135"/>
      <c r="D62" s="135"/>
      <c r="E62" s="135"/>
      <c r="F62" s="135"/>
      <c r="G62" s="136"/>
      <c r="H62" s="78">
        <v>1</v>
      </c>
      <c r="I62" s="78">
        <f>SUM(I50:I61)</f>
        <v>5</v>
      </c>
      <c r="J62" s="78">
        <f>SUM(J50:J61)</f>
        <v>2</v>
      </c>
    </row>
    <row r="63" spans="2:10" ht="18" customHeight="1" x14ac:dyDescent="0.35">
      <c r="B63" s="104" t="s">
        <v>172</v>
      </c>
      <c r="C63" s="137"/>
      <c r="D63" s="137"/>
      <c r="E63" s="137"/>
      <c r="F63" s="137"/>
      <c r="G63" s="137"/>
      <c r="H63" s="137"/>
      <c r="I63" s="137"/>
      <c r="J63" s="105"/>
    </row>
    <row r="64" spans="2:10" ht="54" customHeight="1" x14ac:dyDescent="0.35">
      <c r="B64" s="128" t="s">
        <v>146</v>
      </c>
      <c r="C64" s="78" t="s">
        <v>138</v>
      </c>
      <c r="D64" s="78" t="s">
        <v>95</v>
      </c>
      <c r="E64" s="78" t="s">
        <v>149</v>
      </c>
      <c r="F64" s="78">
        <v>20</v>
      </c>
      <c r="G64" s="78">
        <f>72/2</f>
        <v>36</v>
      </c>
      <c r="H64" s="128">
        <v>1</v>
      </c>
      <c r="I64" s="78">
        <v>2</v>
      </c>
      <c r="J64" s="84" t="s">
        <v>127</v>
      </c>
    </row>
    <row r="65" spans="2:10" ht="54" customHeight="1" x14ac:dyDescent="0.35">
      <c r="B65" s="132"/>
      <c r="C65" s="78" t="s">
        <v>148</v>
      </c>
      <c r="D65" s="76" t="s">
        <v>95</v>
      </c>
      <c r="E65" s="76" t="s">
        <v>150</v>
      </c>
      <c r="F65" s="76">
        <v>5</v>
      </c>
      <c r="G65" s="76">
        <v>19</v>
      </c>
      <c r="H65" s="132"/>
      <c r="I65" s="78">
        <v>4</v>
      </c>
      <c r="J65" s="84" t="s">
        <v>127</v>
      </c>
    </row>
    <row r="66" spans="2:10" ht="72" customHeight="1" x14ac:dyDescent="0.35">
      <c r="B66" s="133"/>
      <c r="C66" s="78" t="s">
        <v>147</v>
      </c>
      <c r="D66" s="78" t="s">
        <v>95</v>
      </c>
      <c r="E66" s="78" t="s">
        <v>129</v>
      </c>
      <c r="F66" s="78">
        <v>330</v>
      </c>
      <c r="G66" s="78">
        <f>94/2</f>
        <v>47</v>
      </c>
      <c r="H66" s="133"/>
      <c r="I66" s="78">
        <v>1</v>
      </c>
      <c r="J66" s="84" t="s">
        <v>127</v>
      </c>
    </row>
    <row r="67" spans="2:10" ht="18" customHeight="1" x14ac:dyDescent="0.35">
      <c r="B67" s="148" t="s">
        <v>128</v>
      </c>
      <c r="C67" s="149"/>
      <c r="D67" s="149"/>
      <c r="E67" s="149"/>
      <c r="F67" s="149"/>
      <c r="G67" s="150"/>
      <c r="H67" s="76">
        <v>1</v>
      </c>
      <c r="I67" s="78">
        <f>SUM(I64:I66)</f>
        <v>7</v>
      </c>
      <c r="J67" s="84">
        <v>0</v>
      </c>
    </row>
    <row r="68" spans="2:10" ht="18" customHeight="1" x14ac:dyDescent="0.35">
      <c r="B68" s="104" t="s">
        <v>173</v>
      </c>
      <c r="C68" s="137"/>
      <c r="D68" s="137"/>
      <c r="E68" s="137"/>
      <c r="F68" s="137"/>
      <c r="G68" s="137"/>
      <c r="H68" s="137"/>
      <c r="I68" s="137"/>
      <c r="J68" s="105"/>
    </row>
    <row r="69" spans="2:10" ht="54" customHeight="1" x14ac:dyDescent="0.35">
      <c r="B69" s="128" t="s">
        <v>146</v>
      </c>
      <c r="C69" s="78" t="s">
        <v>138</v>
      </c>
      <c r="D69" s="78" t="s">
        <v>95</v>
      </c>
      <c r="E69" s="78" t="s">
        <v>149</v>
      </c>
      <c r="F69" s="78">
        <v>20</v>
      </c>
      <c r="G69" s="78">
        <f>72/2</f>
        <v>36</v>
      </c>
      <c r="H69" s="128">
        <v>1</v>
      </c>
      <c r="I69" s="78">
        <v>2</v>
      </c>
      <c r="J69" s="84" t="s">
        <v>127</v>
      </c>
    </row>
    <row r="70" spans="2:10" ht="54" customHeight="1" x14ac:dyDescent="0.35">
      <c r="B70" s="132"/>
      <c r="C70" s="78" t="s">
        <v>148</v>
      </c>
      <c r="D70" s="76" t="s">
        <v>95</v>
      </c>
      <c r="E70" s="76" t="s">
        <v>150</v>
      </c>
      <c r="F70" s="76">
        <v>5</v>
      </c>
      <c r="G70" s="76">
        <v>18</v>
      </c>
      <c r="H70" s="132"/>
      <c r="I70" s="78">
        <v>4</v>
      </c>
      <c r="J70" s="84" t="s">
        <v>127</v>
      </c>
    </row>
    <row r="71" spans="2:10" ht="72" x14ac:dyDescent="0.35">
      <c r="B71" s="133"/>
      <c r="C71" s="78" t="s">
        <v>147</v>
      </c>
      <c r="D71" s="78" t="s">
        <v>95</v>
      </c>
      <c r="E71" s="78" t="s">
        <v>129</v>
      </c>
      <c r="F71" s="78">
        <v>330</v>
      </c>
      <c r="G71" s="78">
        <f>94/2</f>
        <v>47</v>
      </c>
      <c r="H71" s="133"/>
      <c r="I71" s="78">
        <v>1</v>
      </c>
      <c r="J71" s="84" t="s">
        <v>127</v>
      </c>
    </row>
    <row r="72" spans="2:10" ht="18" customHeight="1" x14ac:dyDescent="0.35">
      <c r="B72" s="148" t="s">
        <v>128</v>
      </c>
      <c r="C72" s="149"/>
      <c r="D72" s="149"/>
      <c r="E72" s="149"/>
      <c r="F72" s="149"/>
      <c r="G72" s="150"/>
      <c r="H72" s="76">
        <v>1</v>
      </c>
      <c r="I72" s="78">
        <f>SUM(I69:I71)</f>
        <v>7</v>
      </c>
      <c r="J72" s="84">
        <v>0</v>
      </c>
    </row>
    <row r="73" spans="2:10" ht="18" customHeight="1" x14ac:dyDescent="0.35">
      <c r="B73" s="104" t="s">
        <v>174</v>
      </c>
      <c r="C73" s="137"/>
      <c r="D73" s="137"/>
      <c r="E73" s="137"/>
      <c r="F73" s="137"/>
      <c r="G73" s="137"/>
      <c r="H73" s="137"/>
      <c r="I73" s="137"/>
      <c r="J73" s="105"/>
    </row>
    <row r="74" spans="2:10" ht="54" x14ac:dyDescent="0.35">
      <c r="B74" s="128" t="s">
        <v>151</v>
      </c>
      <c r="C74" s="78" t="s">
        <v>138</v>
      </c>
      <c r="D74" s="78" t="s">
        <v>95</v>
      </c>
      <c r="E74" s="78" t="s">
        <v>149</v>
      </c>
      <c r="F74" s="76">
        <v>20</v>
      </c>
      <c r="G74" s="76">
        <v>40</v>
      </c>
      <c r="H74" s="106">
        <v>1</v>
      </c>
      <c r="I74" s="78">
        <v>2</v>
      </c>
      <c r="J74" s="84" t="s">
        <v>127</v>
      </c>
    </row>
    <row r="75" spans="2:10" ht="54" x14ac:dyDescent="0.35">
      <c r="B75" s="132"/>
      <c r="C75" s="78" t="s">
        <v>148</v>
      </c>
      <c r="D75" s="76" t="s">
        <v>95</v>
      </c>
      <c r="E75" s="76" t="s">
        <v>150</v>
      </c>
      <c r="F75" s="76">
        <v>5</v>
      </c>
      <c r="G75" s="76">
        <v>18</v>
      </c>
      <c r="H75" s="138"/>
      <c r="I75" s="78">
        <v>4</v>
      </c>
      <c r="J75" s="84" t="s">
        <v>127</v>
      </c>
    </row>
    <row r="76" spans="2:10" ht="72" x14ac:dyDescent="0.35">
      <c r="B76" s="133"/>
      <c r="C76" s="78" t="s">
        <v>147</v>
      </c>
      <c r="D76" s="78" t="s">
        <v>95</v>
      </c>
      <c r="E76" s="78" t="s">
        <v>129</v>
      </c>
      <c r="F76" s="78">
        <v>336</v>
      </c>
      <c r="G76" s="78">
        <v>42</v>
      </c>
      <c r="H76" s="107"/>
      <c r="I76" s="78">
        <v>1</v>
      </c>
      <c r="J76" s="84" t="s">
        <v>127</v>
      </c>
    </row>
    <row r="77" spans="2:10" ht="18" customHeight="1" x14ac:dyDescent="0.35">
      <c r="B77" s="148" t="s">
        <v>128</v>
      </c>
      <c r="C77" s="149"/>
      <c r="D77" s="149"/>
      <c r="E77" s="149"/>
      <c r="F77" s="149"/>
      <c r="G77" s="150"/>
      <c r="H77" s="78">
        <v>1</v>
      </c>
      <c r="I77" s="78">
        <v>7</v>
      </c>
      <c r="J77" s="84">
        <v>0</v>
      </c>
    </row>
    <row r="78" spans="2:10" ht="18" customHeight="1" x14ac:dyDescent="0.35">
      <c r="B78" s="148" t="s">
        <v>152</v>
      </c>
      <c r="C78" s="149"/>
      <c r="D78" s="149"/>
      <c r="E78" s="149"/>
      <c r="F78" s="149"/>
      <c r="G78" s="150"/>
      <c r="H78" s="78">
        <f>H77+H72+H67+H48+H34+H20+H15+H62</f>
        <v>8</v>
      </c>
      <c r="I78" s="78">
        <f>I77+I72+I67+I48+I34+I20+I15+I62</f>
        <v>52</v>
      </c>
      <c r="J78" s="78">
        <f t="shared" ref="J78" si="5">J77+J72+J67+J48+J34+J20+J15+J62</f>
        <v>11</v>
      </c>
    </row>
    <row r="79" spans="2:10" ht="18" customHeight="1" x14ac:dyDescent="0.35">
      <c r="B79" s="148" t="s">
        <v>153</v>
      </c>
      <c r="C79" s="149"/>
      <c r="D79" s="149"/>
      <c r="E79" s="149"/>
      <c r="F79" s="149"/>
      <c r="G79" s="150"/>
      <c r="H79" s="78">
        <f>H78+H73+H68+H49+H35+H21+H16+H63</f>
        <v>8</v>
      </c>
      <c r="I79" s="78">
        <f>I78*1.12</f>
        <v>58.240000000000009</v>
      </c>
      <c r="J79" s="78">
        <f>J78*1.12</f>
        <v>12.32</v>
      </c>
    </row>
    <row r="80" spans="2:10" ht="18" customHeight="1" x14ac:dyDescent="0.35">
      <c r="B80" s="148" t="s">
        <v>154</v>
      </c>
      <c r="C80" s="149"/>
      <c r="D80" s="149"/>
      <c r="E80" s="149"/>
      <c r="F80" s="149"/>
      <c r="G80" s="150"/>
      <c r="H80" s="142">
        <f>59+13</f>
        <v>72</v>
      </c>
      <c r="I80" s="143"/>
      <c r="J80" s="144"/>
    </row>
    <row r="81" spans="2:10" ht="18" customHeight="1" x14ac:dyDescent="0.35">
      <c r="B81" s="148" t="s">
        <v>155</v>
      </c>
      <c r="C81" s="149"/>
      <c r="D81" s="149"/>
      <c r="E81" s="149"/>
      <c r="F81" s="149"/>
      <c r="G81" s="150"/>
      <c r="H81" s="104">
        <v>8</v>
      </c>
      <c r="I81" s="137"/>
      <c r="J81" s="105"/>
    </row>
    <row r="82" spans="2:10" ht="18" customHeight="1" x14ac:dyDescent="0.35">
      <c r="B82" s="145" t="s">
        <v>156</v>
      </c>
      <c r="C82" s="146"/>
      <c r="D82" s="146"/>
      <c r="E82" s="146"/>
      <c r="F82" s="146"/>
      <c r="G82" s="147"/>
      <c r="H82" s="78">
        <v>8</v>
      </c>
      <c r="I82" s="78">
        <v>59</v>
      </c>
      <c r="J82" s="78">
        <v>13</v>
      </c>
    </row>
    <row r="83" spans="2:10" x14ac:dyDescent="0.35">
      <c r="B83" s="89"/>
      <c r="C83" s="89"/>
      <c r="D83" s="89"/>
      <c r="E83" s="89"/>
      <c r="F83" s="89"/>
      <c r="G83" s="89"/>
    </row>
  </sheetData>
  <mergeCells count="77">
    <mergeCell ref="O2:Q2"/>
    <mergeCell ref="Q4:Q8"/>
    <mergeCell ref="P4:P8"/>
    <mergeCell ref="O4:O8"/>
    <mergeCell ref="O15:Q15"/>
    <mergeCell ref="O10:Q10"/>
    <mergeCell ref="Q11:Q13"/>
    <mergeCell ref="P11:P13"/>
    <mergeCell ref="O11:O13"/>
    <mergeCell ref="M2:N3"/>
    <mergeCell ref="L2:L3"/>
    <mergeCell ref="L4:L8"/>
    <mergeCell ref="L11:L13"/>
    <mergeCell ref="L10:N10"/>
    <mergeCell ref="B79:G79"/>
    <mergeCell ref="B78:G78"/>
    <mergeCell ref="N4:N8"/>
    <mergeCell ref="N11:N13"/>
    <mergeCell ref="L9:N9"/>
    <mergeCell ref="L14:N14"/>
    <mergeCell ref="L15:N15"/>
    <mergeCell ref="B72:G72"/>
    <mergeCell ref="B73:J73"/>
    <mergeCell ref="H74:H76"/>
    <mergeCell ref="B74:B76"/>
    <mergeCell ref="B77:G77"/>
    <mergeCell ref="B67:G67"/>
    <mergeCell ref="B35:J35"/>
    <mergeCell ref="B49:J49"/>
    <mergeCell ref="B50:B61"/>
    <mergeCell ref="H80:J80"/>
    <mergeCell ref="H81:J81"/>
    <mergeCell ref="B82:G82"/>
    <mergeCell ref="B81:G81"/>
    <mergeCell ref="B80:G80"/>
    <mergeCell ref="H50:H61"/>
    <mergeCell ref="C56:C57"/>
    <mergeCell ref="C58:C59"/>
    <mergeCell ref="C60:C61"/>
    <mergeCell ref="B62:G62"/>
    <mergeCell ref="H69:H71"/>
    <mergeCell ref="B69:B71"/>
    <mergeCell ref="B63:J63"/>
    <mergeCell ref="B68:J68"/>
    <mergeCell ref="H64:H66"/>
    <mergeCell ref="B64:B66"/>
    <mergeCell ref="B48:G48"/>
    <mergeCell ref="C42:C43"/>
    <mergeCell ref="C44:C45"/>
    <mergeCell ref="C46:C47"/>
    <mergeCell ref="H17:H19"/>
    <mergeCell ref="B17:B19"/>
    <mergeCell ref="C17:C18"/>
    <mergeCell ref="B20:G20"/>
    <mergeCell ref="H22:H33"/>
    <mergeCell ref="B34:G34"/>
    <mergeCell ref="B21:J21"/>
    <mergeCell ref="C28:C29"/>
    <mergeCell ref="C30:C31"/>
    <mergeCell ref="C32:C33"/>
    <mergeCell ref="B22:B33"/>
    <mergeCell ref="H36:H47"/>
    <mergeCell ref="B36:B47"/>
    <mergeCell ref="H5:H14"/>
    <mergeCell ref="B5:B14"/>
    <mergeCell ref="C11:C12"/>
    <mergeCell ref="C13:C14"/>
    <mergeCell ref="B15:G15"/>
    <mergeCell ref="B16:J16"/>
    <mergeCell ref="B4:J4"/>
    <mergeCell ref="H2:J2"/>
    <mergeCell ref="B2:B3"/>
    <mergeCell ref="C2:C3"/>
    <mergeCell ref="D2:D3"/>
    <mergeCell ref="E2:E3"/>
    <mergeCell ref="F2:F3"/>
    <mergeCell ref="G2:G3"/>
  </mergeCells>
  <phoneticPr fontId="13" type="noConversion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41"/>
  <sheetViews>
    <sheetView topLeftCell="A43" zoomScale="85" zoomScaleNormal="85" workbookViewId="0">
      <selection activeCell="B45" sqref="B45:J45"/>
    </sheetView>
  </sheetViews>
  <sheetFormatPr defaultRowHeight="18" x14ac:dyDescent="0.35"/>
  <cols>
    <col min="2" max="9" width="15.6328125" customWidth="1"/>
    <col min="13" max="13" width="10.6328125" customWidth="1"/>
    <col min="14" max="14" width="30.6328125" customWidth="1"/>
  </cols>
  <sheetData>
    <row r="1" spans="1:17" x14ac:dyDescent="0.35">
      <c r="A1" s="82"/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</row>
    <row r="2" spans="1:17" ht="40.799999999999997" customHeight="1" x14ac:dyDescent="0.35">
      <c r="A2" s="90"/>
      <c r="B2" s="116" t="s">
        <v>121</v>
      </c>
      <c r="C2" s="116" t="s">
        <v>122</v>
      </c>
      <c r="D2" s="116" t="s">
        <v>91</v>
      </c>
      <c r="E2" s="116" t="s">
        <v>26</v>
      </c>
      <c r="F2" s="116" t="s">
        <v>123</v>
      </c>
      <c r="G2" s="116" t="s">
        <v>27</v>
      </c>
      <c r="H2" s="116" t="s">
        <v>93</v>
      </c>
      <c r="I2" s="116"/>
      <c r="J2" s="116"/>
      <c r="K2" s="90"/>
      <c r="L2" s="116" t="s">
        <v>162</v>
      </c>
      <c r="M2" s="116" t="s">
        <v>163</v>
      </c>
      <c r="N2" s="116"/>
      <c r="O2" s="116" t="s">
        <v>164</v>
      </c>
      <c r="P2" s="116"/>
      <c r="Q2" s="116"/>
    </row>
    <row r="3" spans="1:17" x14ac:dyDescent="0.35">
      <c r="A3" s="90"/>
      <c r="B3" s="116"/>
      <c r="C3" s="116"/>
      <c r="D3" s="116"/>
      <c r="E3" s="116"/>
      <c r="F3" s="116"/>
      <c r="G3" s="116"/>
      <c r="H3" s="80" t="s">
        <v>94</v>
      </c>
      <c r="I3" s="80" t="s">
        <v>95</v>
      </c>
      <c r="J3" s="80" t="s">
        <v>124</v>
      </c>
      <c r="K3" s="90"/>
      <c r="L3" s="116"/>
      <c r="M3" s="116"/>
      <c r="N3" s="116"/>
      <c r="O3" s="93" t="s">
        <v>94</v>
      </c>
      <c r="P3" s="93" t="s">
        <v>95</v>
      </c>
      <c r="Q3" s="93" t="s">
        <v>124</v>
      </c>
    </row>
    <row r="4" spans="1:17" ht="18" customHeight="1" x14ac:dyDescent="0.35">
      <c r="A4" s="90"/>
      <c r="B4" s="171" t="s">
        <v>196</v>
      </c>
      <c r="C4" s="171"/>
      <c r="D4" s="171"/>
      <c r="E4" s="171"/>
      <c r="F4" s="171"/>
      <c r="G4" s="171"/>
      <c r="H4" s="171"/>
      <c r="I4" s="171"/>
      <c r="J4" s="171"/>
      <c r="K4" s="90"/>
      <c r="L4" s="94">
        <v>3</v>
      </c>
      <c r="M4" s="94">
        <v>14</v>
      </c>
      <c r="N4" s="116" t="s">
        <v>220</v>
      </c>
      <c r="O4" s="94"/>
      <c r="P4" s="94"/>
      <c r="Q4" s="94"/>
    </row>
    <row r="5" spans="1:17" ht="41.4" customHeight="1" x14ac:dyDescent="0.35">
      <c r="A5" s="90"/>
      <c r="B5" s="170" t="s">
        <v>146</v>
      </c>
      <c r="C5" s="170" t="s">
        <v>188</v>
      </c>
      <c r="D5" s="95" t="s">
        <v>95</v>
      </c>
      <c r="E5" s="95" t="s">
        <v>194</v>
      </c>
      <c r="F5" s="95">
        <v>60</v>
      </c>
      <c r="G5" s="95">
        <f>450</f>
        <v>450</v>
      </c>
      <c r="H5" s="170">
        <v>1</v>
      </c>
      <c r="I5" s="95">
        <v>8</v>
      </c>
      <c r="J5" s="86" t="s">
        <v>127</v>
      </c>
      <c r="K5" s="90"/>
      <c r="L5" s="94"/>
      <c r="M5" s="94">
        <v>15</v>
      </c>
      <c r="N5" s="116"/>
      <c r="O5" s="94"/>
      <c r="P5" s="94"/>
      <c r="Q5" s="94"/>
    </row>
    <row r="6" spans="1:17" x14ac:dyDescent="0.35">
      <c r="A6" s="90"/>
      <c r="B6" s="170"/>
      <c r="C6" s="170"/>
      <c r="D6" s="95" t="s">
        <v>95</v>
      </c>
      <c r="E6" s="95" t="s">
        <v>193</v>
      </c>
      <c r="F6" s="95">
        <v>105</v>
      </c>
      <c r="G6" s="95">
        <f>5+2+14*2</f>
        <v>35</v>
      </c>
      <c r="H6" s="170"/>
      <c r="I6" s="95">
        <v>1</v>
      </c>
      <c r="J6" s="86" t="s">
        <v>127</v>
      </c>
      <c r="K6" s="90"/>
      <c r="L6" s="94"/>
      <c r="M6" s="94">
        <v>16</v>
      </c>
      <c r="N6" s="116"/>
      <c r="O6" s="94"/>
      <c r="P6" s="94"/>
      <c r="Q6" s="94"/>
    </row>
    <row r="7" spans="1:17" x14ac:dyDescent="0.35">
      <c r="A7" s="90"/>
      <c r="B7" s="170"/>
      <c r="C7" s="170"/>
      <c r="D7" s="95" t="s">
        <v>95</v>
      </c>
      <c r="E7" s="95" t="s">
        <v>175</v>
      </c>
      <c r="F7" s="95">
        <v>45</v>
      </c>
      <c r="G7" s="95">
        <f>95+14</f>
        <v>109</v>
      </c>
      <c r="H7" s="170"/>
      <c r="I7" s="95">
        <v>1</v>
      </c>
      <c r="J7" s="86" t="s">
        <v>127</v>
      </c>
      <c r="K7" s="90"/>
      <c r="L7" s="94"/>
      <c r="M7" s="94">
        <v>17</v>
      </c>
      <c r="N7" s="116"/>
      <c r="O7" s="94"/>
      <c r="P7" s="94"/>
      <c r="Q7" s="94"/>
    </row>
    <row r="8" spans="1:17" x14ac:dyDescent="0.35">
      <c r="A8" s="90"/>
      <c r="B8" s="151" t="s">
        <v>128</v>
      </c>
      <c r="C8" s="151"/>
      <c r="D8" s="151"/>
      <c r="E8" s="151"/>
      <c r="F8" s="151"/>
      <c r="G8" s="151"/>
      <c r="H8" s="80">
        <f>SUM(H5)</f>
        <v>1</v>
      </c>
      <c r="I8" s="80">
        <f>SUM(I5:I7)</f>
        <v>10</v>
      </c>
      <c r="J8" s="45">
        <v>0</v>
      </c>
      <c r="K8" s="90"/>
      <c r="L8" s="94"/>
      <c r="M8" s="94">
        <v>18</v>
      </c>
      <c r="N8" s="116"/>
      <c r="O8" s="94"/>
      <c r="P8" s="94"/>
      <c r="Q8" s="94"/>
    </row>
    <row r="9" spans="1:17" ht="69" customHeight="1" x14ac:dyDescent="0.35">
      <c r="A9" s="90"/>
      <c r="B9" s="170" t="s">
        <v>197</v>
      </c>
      <c r="C9" s="170"/>
      <c r="D9" s="170"/>
      <c r="E9" s="170"/>
      <c r="F9" s="170"/>
      <c r="G9" s="170"/>
      <c r="H9" s="170"/>
      <c r="I9" s="170"/>
      <c r="J9" s="170"/>
      <c r="K9" s="90"/>
      <c r="L9" s="94"/>
      <c r="M9" s="94">
        <v>19</v>
      </c>
      <c r="N9" s="116"/>
      <c r="O9" s="94"/>
      <c r="P9" s="94"/>
      <c r="Q9" s="94"/>
    </row>
    <row r="10" spans="1:17" ht="72" customHeight="1" x14ac:dyDescent="0.35">
      <c r="A10" s="90"/>
      <c r="B10" s="167" t="s">
        <v>146</v>
      </c>
      <c r="C10" s="96" t="s">
        <v>188</v>
      </c>
      <c r="D10" s="95" t="s">
        <v>95</v>
      </c>
      <c r="E10" s="95" t="s">
        <v>175</v>
      </c>
      <c r="F10" s="95">
        <v>45</v>
      </c>
      <c r="G10" s="95">
        <f>95+14</f>
        <v>109</v>
      </c>
      <c r="H10" s="167">
        <v>1</v>
      </c>
      <c r="I10" s="95">
        <v>2</v>
      </c>
      <c r="J10" s="86" t="s">
        <v>127</v>
      </c>
      <c r="K10" s="90"/>
      <c r="L10" s="94"/>
      <c r="M10" s="94">
        <v>20</v>
      </c>
      <c r="N10" s="116"/>
      <c r="O10" s="94"/>
      <c r="P10" s="94"/>
      <c r="Q10" s="94"/>
    </row>
    <row r="11" spans="1:17" ht="55.2" customHeight="1" x14ac:dyDescent="0.35">
      <c r="A11" s="90"/>
      <c r="B11" s="168"/>
      <c r="C11" s="95" t="s">
        <v>176</v>
      </c>
      <c r="D11" s="95" t="s">
        <v>95</v>
      </c>
      <c r="E11" s="95" t="s">
        <v>183</v>
      </c>
      <c r="F11" s="95">
        <v>60</v>
      </c>
      <c r="G11" s="95">
        <f>25+14</f>
        <v>39</v>
      </c>
      <c r="H11" s="168"/>
      <c r="I11" s="95">
        <v>1</v>
      </c>
      <c r="J11" s="86" t="s">
        <v>127</v>
      </c>
      <c r="K11" s="90"/>
      <c r="L11" s="94"/>
      <c r="M11" s="94">
        <v>21</v>
      </c>
      <c r="N11" s="116"/>
      <c r="O11" s="94"/>
      <c r="P11" s="94"/>
      <c r="Q11" s="94"/>
    </row>
    <row r="12" spans="1:17" ht="27.6" x14ac:dyDescent="0.35">
      <c r="A12" s="90"/>
      <c r="B12" s="168"/>
      <c r="C12" s="95" t="s">
        <v>177</v>
      </c>
      <c r="D12" s="95" t="s">
        <v>95</v>
      </c>
      <c r="E12" s="95" t="s">
        <v>184</v>
      </c>
      <c r="F12" s="95">
        <v>80</v>
      </c>
      <c r="G12" s="95">
        <f>5+2</f>
        <v>7</v>
      </c>
      <c r="H12" s="168"/>
      <c r="I12" s="95">
        <v>1</v>
      </c>
      <c r="J12" s="86" t="s">
        <v>127</v>
      </c>
      <c r="K12" s="90"/>
      <c r="L12" s="94"/>
      <c r="M12" s="94">
        <v>22</v>
      </c>
      <c r="N12" s="116"/>
      <c r="O12" s="94"/>
      <c r="P12" s="94"/>
      <c r="Q12" s="94"/>
    </row>
    <row r="13" spans="1:17" ht="69" customHeight="1" x14ac:dyDescent="0.35">
      <c r="A13" s="90"/>
      <c r="B13" s="168"/>
      <c r="C13" s="95" t="s">
        <v>178</v>
      </c>
      <c r="D13" s="95" t="s">
        <v>95</v>
      </c>
      <c r="E13" s="95" t="s">
        <v>183</v>
      </c>
      <c r="F13" s="95">
        <v>75</v>
      </c>
      <c r="G13" s="95">
        <f>95+14</f>
        <v>109</v>
      </c>
      <c r="H13" s="168"/>
      <c r="I13" s="95">
        <v>2</v>
      </c>
      <c r="J13" s="86" t="s">
        <v>127</v>
      </c>
      <c r="K13" s="90"/>
      <c r="L13" s="94"/>
      <c r="M13" s="94">
        <v>23</v>
      </c>
      <c r="N13" s="116"/>
      <c r="O13" s="94"/>
      <c r="P13" s="94"/>
      <c r="Q13" s="94"/>
    </row>
    <row r="14" spans="1:17" ht="27.6" x14ac:dyDescent="0.35">
      <c r="A14" s="90"/>
      <c r="B14" s="168"/>
      <c r="C14" s="95" t="s">
        <v>180</v>
      </c>
      <c r="D14" s="95" t="s">
        <v>95</v>
      </c>
      <c r="E14" s="95" t="s">
        <v>185</v>
      </c>
      <c r="F14" s="95">
        <v>20</v>
      </c>
      <c r="G14" s="95">
        <f>2+2+14+14</f>
        <v>32</v>
      </c>
      <c r="H14" s="168"/>
      <c r="I14" s="95">
        <v>2</v>
      </c>
      <c r="J14" s="86" t="s">
        <v>127</v>
      </c>
      <c r="K14" s="90"/>
      <c r="L14" s="94"/>
      <c r="M14" s="94">
        <v>29</v>
      </c>
      <c r="N14" s="116"/>
      <c r="O14" s="94"/>
      <c r="P14" s="94"/>
      <c r="Q14" s="94"/>
    </row>
    <row r="15" spans="1:17" ht="55.2" x14ac:dyDescent="0.35">
      <c r="A15" s="90"/>
      <c r="B15" s="169"/>
      <c r="C15" s="95" t="s">
        <v>186</v>
      </c>
      <c r="D15" s="95" t="s">
        <v>95</v>
      </c>
      <c r="E15" s="95" t="s">
        <v>108</v>
      </c>
      <c r="F15" s="95">
        <v>16</v>
      </c>
      <c r="G15" s="95">
        <f>7+4+2*14</f>
        <v>39</v>
      </c>
      <c r="H15" s="169"/>
      <c r="I15" s="95">
        <v>2</v>
      </c>
      <c r="J15" s="86" t="s">
        <v>127</v>
      </c>
      <c r="K15" s="90"/>
      <c r="L15" s="94"/>
      <c r="M15" s="94">
        <v>30</v>
      </c>
      <c r="N15" s="116"/>
      <c r="O15" s="94"/>
      <c r="P15" s="94"/>
      <c r="Q15" s="94"/>
    </row>
    <row r="16" spans="1:17" x14ac:dyDescent="0.35">
      <c r="A16" s="90"/>
      <c r="B16" s="151" t="s">
        <v>128</v>
      </c>
      <c r="C16" s="151"/>
      <c r="D16" s="151"/>
      <c r="E16" s="151"/>
      <c r="F16" s="151"/>
      <c r="G16" s="151"/>
      <c r="H16" s="6">
        <v>1</v>
      </c>
      <c r="I16" s="98">
        <v>10</v>
      </c>
      <c r="J16" s="94">
        <v>0</v>
      </c>
      <c r="K16" s="90"/>
      <c r="L16" s="116" t="s">
        <v>204</v>
      </c>
      <c r="M16" s="116"/>
      <c r="N16" s="116"/>
      <c r="O16" s="94"/>
      <c r="P16" s="94"/>
      <c r="Q16" s="94"/>
    </row>
    <row r="17" spans="1:33" x14ac:dyDescent="0.35">
      <c r="A17" s="90"/>
      <c r="B17" s="170" t="s">
        <v>199</v>
      </c>
      <c r="C17" s="170"/>
      <c r="D17" s="170"/>
      <c r="E17" s="170"/>
      <c r="F17" s="170"/>
      <c r="G17" s="170"/>
      <c r="H17" s="170"/>
      <c r="I17" s="170"/>
      <c r="J17" s="170"/>
      <c r="K17" s="90"/>
      <c r="L17" s="116" t="s">
        <v>205</v>
      </c>
      <c r="M17" s="116"/>
      <c r="N17" s="116"/>
      <c r="O17" s="94"/>
      <c r="P17" s="94"/>
      <c r="Q17" s="94"/>
      <c r="V17" s="90"/>
      <c r="AF17" s="90"/>
    </row>
    <row r="18" spans="1:33" ht="27.6" x14ac:dyDescent="0.35">
      <c r="A18" s="90"/>
      <c r="B18" s="167" t="s">
        <v>146</v>
      </c>
      <c r="C18" s="95" t="s">
        <v>179</v>
      </c>
      <c r="D18" s="95" t="s">
        <v>124</v>
      </c>
      <c r="E18" s="95" t="s">
        <v>183</v>
      </c>
      <c r="F18" s="95">
        <v>200</v>
      </c>
      <c r="G18" s="95">
        <f>40+40+14*10</f>
        <v>220</v>
      </c>
      <c r="H18" s="167">
        <v>1</v>
      </c>
      <c r="I18" s="84" t="s">
        <v>127</v>
      </c>
      <c r="J18" s="95">
        <v>2</v>
      </c>
      <c r="K18" s="90"/>
      <c r="L18" s="94">
        <v>4</v>
      </c>
      <c r="M18" s="94">
        <v>24</v>
      </c>
      <c r="N18" s="116" t="s">
        <v>221</v>
      </c>
      <c r="O18" s="94"/>
      <c r="P18" s="94"/>
      <c r="Q18" s="94"/>
      <c r="V18" s="90"/>
      <c r="AF18" s="90"/>
    </row>
    <row r="19" spans="1:33" ht="120" customHeight="1" x14ac:dyDescent="0.35">
      <c r="A19" s="90"/>
      <c r="B19" s="168"/>
      <c r="C19" s="95" t="s">
        <v>181</v>
      </c>
      <c r="D19" s="95" t="s">
        <v>124</v>
      </c>
      <c r="E19" s="95" t="s">
        <v>187</v>
      </c>
      <c r="F19" s="95">
        <v>50</v>
      </c>
      <c r="G19" s="95">
        <v>221</v>
      </c>
      <c r="H19" s="168"/>
      <c r="I19" s="84" t="s">
        <v>127</v>
      </c>
      <c r="J19" s="95">
        <v>5</v>
      </c>
      <c r="K19" s="90"/>
      <c r="L19" s="94"/>
      <c r="M19" s="94">
        <v>25</v>
      </c>
      <c r="N19" s="116"/>
      <c r="O19" s="94"/>
      <c r="P19" s="94"/>
      <c r="Q19" s="94"/>
      <c r="V19" s="90"/>
      <c r="AF19" s="90"/>
      <c r="AG19" s="4"/>
    </row>
    <row r="20" spans="1:33" ht="69" customHeight="1" x14ac:dyDescent="0.35">
      <c r="A20" s="90"/>
      <c r="B20" s="169"/>
      <c r="C20" s="95" t="s">
        <v>182</v>
      </c>
      <c r="D20" s="95" t="s">
        <v>124</v>
      </c>
      <c r="E20" s="95" t="s">
        <v>108</v>
      </c>
      <c r="F20" s="95">
        <v>25</v>
      </c>
      <c r="G20" s="95">
        <v>53</v>
      </c>
      <c r="H20" s="169"/>
      <c r="I20" s="84" t="s">
        <v>127</v>
      </c>
      <c r="J20" s="95">
        <v>3</v>
      </c>
      <c r="K20" s="90"/>
      <c r="L20" s="94"/>
      <c r="M20" s="94">
        <v>26</v>
      </c>
      <c r="N20" s="116"/>
      <c r="O20" s="94"/>
      <c r="P20" s="94"/>
      <c r="Q20" s="94"/>
      <c r="V20" s="90"/>
      <c r="W20" s="4"/>
      <c r="AF20" s="90"/>
      <c r="AG20" s="4"/>
    </row>
    <row r="21" spans="1:33" ht="27.6" customHeight="1" x14ac:dyDescent="0.35">
      <c r="A21" s="90"/>
      <c r="B21" s="151" t="s">
        <v>128</v>
      </c>
      <c r="C21" s="151"/>
      <c r="D21" s="151"/>
      <c r="E21" s="151"/>
      <c r="F21" s="151"/>
      <c r="G21" s="151"/>
      <c r="H21" s="81">
        <v>1</v>
      </c>
      <c r="I21" s="81">
        <v>0</v>
      </c>
      <c r="J21" s="95">
        <v>10</v>
      </c>
      <c r="K21" s="90"/>
      <c r="L21" s="94"/>
      <c r="M21" s="94">
        <v>27</v>
      </c>
      <c r="N21" s="94"/>
      <c r="O21" s="94"/>
      <c r="P21" s="94"/>
      <c r="Q21" s="94"/>
      <c r="V21" s="90"/>
      <c r="W21" s="4"/>
      <c r="AF21" s="90"/>
      <c r="AG21" s="4"/>
    </row>
    <row r="22" spans="1:33" ht="100.05" customHeight="1" x14ac:dyDescent="0.35">
      <c r="A22" s="90"/>
      <c r="B22" s="159" t="s">
        <v>200</v>
      </c>
      <c r="C22" s="160"/>
      <c r="D22" s="160"/>
      <c r="E22" s="160"/>
      <c r="F22" s="160"/>
      <c r="G22" s="160"/>
      <c r="H22" s="160"/>
      <c r="I22" s="160"/>
      <c r="J22" s="161"/>
      <c r="K22" s="90"/>
      <c r="L22" s="94"/>
      <c r="M22" s="94">
        <v>28</v>
      </c>
      <c r="N22" s="94"/>
      <c r="O22" s="94"/>
      <c r="P22" s="94"/>
      <c r="Q22" s="94"/>
      <c r="V22" s="90"/>
      <c r="W22" s="4"/>
      <c r="AF22" s="90"/>
      <c r="AG22" s="4"/>
    </row>
    <row r="23" spans="1:33" ht="27.6" x14ac:dyDescent="0.35">
      <c r="A23" s="90"/>
      <c r="B23" s="95" t="s">
        <v>146</v>
      </c>
      <c r="C23" s="95" t="s">
        <v>181</v>
      </c>
      <c r="D23" s="95" t="s">
        <v>124</v>
      </c>
      <c r="E23" s="95" t="s">
        <v>187</v>
      </c>
      <c r="F23" s="95">
        <v>50</v>
      </c>
      <c r="G23" s="95">
        <v>400</v>
      </c>
      <c r="H23" s="80">
        <v>1</v>
      </c>
      <c r="I23" s="84" t="s">
        <v>127</v>
      </c>
      <c r="J23" s="80">
        <v>8</v>
      </c>
      <c r="K23" s="90"/>
      <c r="L23" s="94"/>
      <c r="M23" s="94">
        <v>31</v>
      </c>
      <c r="N23" s="94"/>
      <c r="O23" s="94"/>
      <c r="P23" s="94"/>
      <c r="Q23" s="94"/>
      <c r="V23" s="90"/>
      <c r="W23" s="4"/>
      <c r="AF23" s="90"/>
      <c r="AG23" s="4"/>
    </row>
    <row r="24" spans="1:33" ht="69" customHeight="1" x14ac:dyDescent="0.35">
      <c r="A24" s="90"/>
      <c r="B24" s="145" t="s">
        <v>128</v>
      </c>
      <c r="C24" s="146"/>
      <c r="D24" s="146"/>
      <c r="E24" s="146"/>
      <c r="F24" s="146"/>
      <c r="G24" s="147"/>
      <c r="H24" s="80">
        <v>1</v>
      </c>
      <c r="I24" s="80">
        <v>0</v>
      </c>
      <c r="J24" s="45">
        <v>8</v>
      </c>
      <c r="K24" s="90"/>
      <c r="L24" s="94"/>
      <c r="M24" s="45">
        <v>32</v>
      </c>
      <c r="N24" s="94"/>
      <c r="O24" s="94"/>
      <c r="P24" s="94"/>
      <c r="Q24" s="94"/>
      <c r="V24" s="90"/>
      <c r="W24" s="4"/>
      <c r="AF24" s="90"/>
      <c r="AG24" s="4"/>
    </row>
    <row r="25" spans="1:33" ht="55.2" customHeight="1" x14ac:dyDescent="0.35">
      <c r="A25" s="90"/>
      <c r="B25" s="159" t="s">
        <v>208</v>
      </c>
      <c r="C25" s="160"/>
      <c r="D25" s="160"/>
      <c r="E25" s="160"/>
      <c r="F25" s="160"/>
      <c r="G25" s="160"/>
      <c r="H25" s="160"/>
      <c r="I25" s="160"/>
      <c r="J25" s="161"/>
      <c r="K25" s="90"/>
      <c r="L25" s="94"/>
      <c r="M25" s="94">
        <v>33</v>
      </c>
      <c r="N25" s="94"/>
      <c r="O25" s="94"/>
      <c r="P25" s="94"/>
      <c r="Q25" s="94"/>
      <c r="V25" s="90"/>
      <c r="W25" s="4"/>
      <c r="AF25" s="90"/>
      <c r="AG25" s="4"/>
    </row>
    <row r="26" spans="1:33" ht="18" customHeight="1" x14ac:dyDescent="0.35">
      <c r="A26" s="90"/>
      <c r="B26" s="95" t="s">
        <v>146</v>
      </c>
      <c r="C26" s="95" t="s">
        <v>181</v>
      </c>
      <c r="D26" s="95" t="s">
        <v>124</v>
      </c>
      <c r="E26" s="95" t="s">
        <v>187</v>
      </c>
      <c r="F26" s="95">
        <v>50</v>
      </c>
      <c r="G26" s="95">
        <v>400</v>
      </c>
      <c r="H26" s="80">
        <v>1</v>
      </c>
      <c r="I26" s="84" t="s">
        <v>127</v>
      </c>
      <c r="J26" s="80">
        <v>8</v>
      </c>
      <c r="K26" s="90"/>
      <c r="L26" s="116" t="s">
        <v>206</v>
      </c>
      <c r="M26" s="116"/>
      <c r="N26" s="116"/>
      <c r="O26" s="94"/>
      <c r="P26" s="94"/>
      <c r="Q26" s="94"/>
      <c r="V26" s="90"/>
      <c r="W26" s="4"/>
      <c r="AF26" s="90"/>
      <c r="AG26" s="4"/>
    </row>
    <row r="27" spans="1:33" ht="69" customHeight="1" x14ac:dyDescent="0.35">
      <c r="A27" s="90"/>
      <c r="B27" s="145" t="s">
        <v>128</v>
      </c>
      <c r="C27" s="146"/>
      <c r="D27" s="146"/>
      <c r="E27" s="146"/>
      <c r="F27" s="146"/>
      <c r="G27" s="147"/>
      <c r="H27" s="80">
        <v>1</v>
      </c>
      <c r="I27" s="80">
        <v>0</v>
      </c>
      <c r="J27" s="45">
        <v>8</v>
      </c>
      <c r="K27" s="90"/>
      <c r="L27" s="116" t="s">
        <v>207</v>
      </c>
      <c r="M27" s="116"/>
      <c r="N27" s="116"/>
      <c r="O27" s="94"/>
      <c r="P27" s="94"/>
      <c r="Q27" s="94"/>
      <c r="V27" s="90"/>
      <c r="W27" s="4"/>
      <c r="AF27" s="90"/>
      <c r="AG27" s="4"/>
    </row>
    <row r="28" spans="1:33" ht="55.2" customHeight="1" x14ac:dyDescent="0.35">
      <c r="A28" s="90"/>
      <c r="B28" s="159" t="s">
        <v>209</v>
      </c>
      <c r="C28" s="160"/>
      <c r="D28" s="160"/>
      <c r="E28" s="160"/>
      <c r="F28" s="160"/>
      <c r="G28" s="160"/>
      <c r="H28" s="160"/>
      <c r="I28" s="160"/>
      <c r="J28" s="161"/>
      <c r="K28" s="90"/>
      <c r="L28" s="90"/>
      <c r="M28" s="4"/>
      <c r="V28" s="90"/>
      <c r="W28" s="4"/>
      <c r="AF28" s="90"/>
      <c r="AG28" s="4"/>
    </row>
    <row r="29" spans="1:33" ht="18" customHeight="1" x14ac:dyDescent="0.35">
      <c r="A29" s="90"/>
      <c r="B29" s="95" t="s">
        <v>146</v>
      </c>
      <c r="C29" s="95" t="s">
        <v>181</v>
      </c>
      <c r="D29" s="95" t="s">
        <v>124</v>
      </c>
      <c r="E29" s="95" t="s">
        <v>187</v>
      </c>
      <c r="F29" s="95">
        <v>50</v>
      </c>
      <c r="G29" s="95">
        <v>400</v>
      </c>
      <c r="H29" s="80">
        <v>1</v>
      </c>
      <c r="I29" s="84" t="s">
        <v>127</v>
      </c>
      <c r="J29" s="45">
        <v>8</v>
      </c>
      <c r="K29" s="90"/>
      <c r="L29" s="90"/>
      <c r="M29" s="4"/>
      <c r="V29" s="90"/>
      <c r="W29" s="4"/>
      <c r="AF29" s="90"/>
      <c r="AG29" s="4"/>
    </row>
    <row r="30" spans="1:33" ht="69" customHeight="1" x14ac:dyDescent="0.35">
      <c r="A30" s="90"/>
      <c r="B30" s="145" t="s">
        <v>128</v>
      </c>
      <c r="C30" s="146"/>
      <c r="D30" s="146"/>
      <c r="E30" s="146"/>
      <c r="F30" s="146"/>
      <c r="G30" s="147"/>
      <c r="H30" s="80">
        <v>1</v>
      </c>
      <c r="I30" s="80">
        <v>0</v>
      </c>
      <c r="J30" s="45">
        <v>8</v>
      </c>
      <c r="K30" s="90"/>
      <c r="L30" s="90"/>
      <c r="M30" s="4"/>
      <c r="V30" s="90"/>
      <c r="W30" s="4"/>
      <c r="AF30" s="90"/>
      <c r="AG30" s="4"/>
    </row>
    <row r="31" spans="1:33" ht="69" customHeight="1" x14ac:dyDescent="0.35">
      <c r="A31" s="90"/>
      <c r="B31" s="159" t="s">
        <v>198</v>
      </c>
      <c r="C31" s="160"/>
      <c r="D31" s="160"/>
      <c r="E31" s="160"/>
      <c r="F31" s="160"/>
      <c r="G31" s="160"/>
      <c r="H31" s="160"/>
      <c r="I31" s="160"/>
      <c r="J31" s="161"/>
      <c r="K31" s="90"/>
      <c r="L31" s="90"/>
      <c r="M31" s="4"/>
      <c r="V31" s="90"/>
      <c r="W31" s="4"/>
      <c r="AF31" s="90"/>
      <c r="AG31" s="4"/>
    </row>
    <row r="32" spans="1:33" ht="18" customHeight="1" x14ac:dyDescent="0.35">
      <c r="A32" s="90"/>
      <c r="B32" s="167" t="s">
        <v>146</v>
      </c>
      <c r="C32" s="167" t="s">
        <v>188</v>
      </c>
      <c r="D32" s="95" t="s">
        <v>95</v>
      </c>
      <c r="E32" s="95" t="s">
        <v>190</v>
      </c>
      <c r="F32" s="95">
        <v>120</v>
      </c>
      <c r="G32" s="95">
        <f>450+14</f>
        <v>464</v>
      </c>
      <c r="H32" s="167">
        <v>1</v>
      </c>
      <c r="I32" s="95">
        <v>4</v>
      </c>
      <c r="J32" s="86" t="s">
        <v>127</v>
      </c>
      <c r="K32" s="90"/>
      <c r="L32" s="90"/>
      <c r="M32" s="4"/>
      <c r="V32" s="90"/>
      <c r="W32" s="4"/>
      <c r="AF32" s="90"/>
      <c r="AG32" s="4"/>
    </row>
    <row r="33" spans="1:15" ht="69" customHeight="1" x14ac:dyDescent="0.35">
      <c r="A33" s="90"/>
      <c r="B33" s="168"/>
      <c r="C33" s="169"/>
      <c r="D33" s="95" t="s">
        <v>95</v>
      </c>
      <c r="E33" s="95" t="s">
        <v>192</v>
      </c>
      <c r="F33" s="95">
        <v>220</v>
      </c>
      <c r="G33" s="95">
        <f>95+14</f>
        <v>109</v>
      </c>
      <c r="H33" s="168"/>
      <c r="I33" s="95">
        <v>1</v>
      </c>
      <c r="J33" s="86" t="s">
        <v>127</v>
      </c>
      <c r="K33" s="90"/>
    </row>
    <row r="34" spans="1:15" ht="41.4" customHeight="1" x14ac:dyDescent="0.35">
      <c r="A34" s="90"/>
      <c r="B34" s="168"/>
      <c r="C34" s="95" t="s">
        <v>189</v>
      </c>
      <c r="D34" s="95" t="s">
        <v>95</v>
      </c>
      <c r="E34" s="95" t="s">
        <v>184</v>
      </c>
      <c r="F34" s="95">
        <v>290</v>
      </c>
      <c r="G34" s="95">
        <f>5+2</f>
        <v>7</v>
      </c>
      <c r="H34" s="168"/>
      <c r="I34" s="95">
        <v>1</v>
      </c>
      <c r="J34" s="86" t="s">
        <v>127</v>
      </c>
      <c r="K34" s="90"/>
    </row>
    <row r="35" spans="1:15" ht="55.2" customHeight="1" x14ac:dyDescent="0.35">
      <c r="A35" s="90"/>
      <c r="B35" s="168"/>
      <c r="C35" s="167" t="s">
        <v>195</v>
      </c>
      <c r="D35" s="95" t="s">
        <v>95</v>
      </c>
      <c r="E35" s="95" t="s">
        <v>190</v>
      </c>
      <c r="F35" s="95">
        <v>200</v>
      </c>
      <c r="G35" s="95">
        <f>25+14</f>
        <v>39</v>
      </c>
      <c r="H35" s="168"/>
      <c r="I35" s="95">
        <v>1</v>
      </c>
      <c r="J35" s="86" t="s">
        <v>127</v>
      </c>
      <c r="K35" s="90"/>
    </row>
    <row r="36" spans="1:15" x14ac:dyDescent="0.35">
      <c r="A36" s="90"/>
      <c r="B36" s="168"/>
      <c r="C36" s="168"/>
      <c r="D36" s="95" t="s">
        <v>95</v>
      </c>
      <c r="E36" s="95" t="s">
        <v>175</v>
      </c>
      <c r="F36" s="95">
        <v>180</v>
      </c>
      <c r="G36" s="95">
        <f>85+14</f>
        <v>99</v>
      </c>
      <c r="H36" s="168"/>
      <c r="I36" s="95">
        <v>1</v>
      </c>
      <c r="J36" s="86" t="s">
        <v>127</v>
      </c>
      <c r="K36" s="90"/>
    </row>
    <row r="37" spans="1:15" ht="55.2" customHeight="1" x14ac:dyDescent="0.35">
      <c r="A37" s="90"/>
      <c r="B37" s="168"/>
      <c r="C37" s="168"/>
      <c r="D37" s="95" t="s">
        <v>95</v>
      </c>
      <c r="E37" s="95" t="s">
        <v>191</v>
      </c>
      <c r="F37" s="95">
        <v>600</v>
      </c>
      <c r="G37" s="95">
        <f>40+40+14*10</f>
        <v>220</v>
      </c>
      <c r="H37" s="168"/>
      <c r="I37" s="95">
        <v>1</v>
      </c>
      <c r="J37" s="86" t="s">
        <v>127</v>
      </c>
      <c r="K37" s="90"/>
    </row>
    <row r="38" spans="1:15" ht="27.6" x14ac:dyDescent="0.35">
      <c r="A38" s="90"/>
      <c r="B38" s="169"/>
      <c r="C38" s="169"/>
      <c r="D38" s="95" t="s">
        <v>95</v>
      </c>
      <c r="E38" s="95" t="s">
        <v>180</v>
      </c>
      <c r="F38" s="95">
        <v>197</v>
      </c>
      <c r="G38" s="95">
        <f>2+2+14+14</f>
        <v>32</v>
      </c>
      <c r="H38" s="169"/>
      <c r="I38" s="95">
        <v>1</v>
      </c>
      <c r="J38" s="86" t="s">
        <v>127</v>
      </c>
      <c r="K38" s="90"/>
    </row>
    <row r="39" spans="1:15" ht="90" customHeight="1" x14ac:dyDescent="0.35">
      <c r="A39" s="90"/>
      <c r="B39" s="145" t="s">
        <v>128</v>
      </c>
      <c r="C39" s="146"/>
      <c r="D39" s="146"/>
      <c r="E39" s="146"/>
      <c r="F39" s="146"/>
      <c r="G39" s="147"/>
      <c r="H39" s="80">
        <v>1</v>
      </c>
      <c r="I39" s="80">
        <v>10</v>
      </c>
      <c r="J39" s="45">
        <v>0</v>
      </c>
      <c r="K39" s="90"/>
    </row>
    <row r="40" spans="1:15" ht="69" customHeight="1" x14ac:dyDescent="0.35">
      <c r="A40" s="90"/>
      <c r="B40" s="159" t="s">
        <v>210</v>
      </c>
      <c r="C40" s="160"/>
      <c r="D40" s="160"/>
      <c r="E40" s="160"/>
      <c r="F40" s="160"/>
      <c r="G40" s="160"/>
      <c r="H40" s="160"/>
      <c r="I40" s="160"/>
      <c r="J40" s="161"/>
      <c r="K40" s="90"/>
    </row>
    <row r="41" spans="1:15" ht="18" customHeight="1" x14ac:dyDescent="0.35">
      <c r="A41" s="90"/>
      <c r="B41" s="167" t="s">
        <v>146</v>
      </c>
      <c r="C41" s="95" t="s">
        <v>186</v>
      </c>
      <c r="D41" s="95" t="s">
        <v>95</v>
      </c>
      <c r="E41" s="95" t="s">
        <v>108</v>
      </c>
      <c r="F41" s="95">
        <v>35</v>
      </c>
      <c r="G41" s="95">
        <f>7+4+2*14</f>
        <v>39</v>
      </c>
      <c r="H41" s="167">
        <v>1</v>
      </c>
      <c r="I41" s="95">
        <v>2</v>
      </c>
      <c r="J41" s="86" t="s">
        <v>127</v>
      </c>
      <c r="K41" s="90"/>
    </row>
    <row r="42" spans="1:15" ht="35.4" customHeight="1" x14ac:dyDescent="0.35">
      <c r="A42" s="90"/>
      <c r="B42" s="168"/>
      <c r="C42" s="95" t="s">
        <v>181</v>
      </c>
      <c r="D42" s="95" t="s">
        <v>95</v>
      </c>
      <c r="E42" s="95" t="s">
        <v>187</v>
      </c>
      <c r="F42" s="95">
        <v>95</v>
      </c>
      <c r="G42" s="95">
        <v>630</v>
      </c>
      <c r="H42" s="168"/>
      <c r="I42" s="95">
        <v>7</v>
      </c>
      <c r="J42" s="86" t="s">
        <v>127</v>
      </c>
      <c r="K42" s="90"/>
      <c r="L42" s="90"/>
    </row>
    <row r="43" spans="1:15" ht="27.6" x14ac:dyDescent="0.35">
      <c r="A43" s="82"/>
      <c r="B43" s="169"/>
      <c r="C43" s="95" t="s">
        <v>182</v>
      </c>
      <c r="D43" s="95" t="s">
        <v>95</v>
      </c>
      <c r="E43" s="95" t="s">
        <v>108</v>
      </c>
      <c r="F43" s="95">
        <v>100</v>
      </c>
      <c r="G43" s="95">
        <v>53</v>
      </c>
      <c r="H43" s="169"/>
      <c r="I43" s="95">
        <v>1</v>
      </c>
      <c r="J43" s="86" t="s">
        <v>127</v>
      </c>
      <c r="K43" s="82"/>
      <c r="L43" s="82"/>
    </row>
    <row r="44" spans="1:15" ht="90" customHeight="1" x14ac:dyDescent="0.35">
      <c r="A44" s="82"/>
      <c r="B44" s="145" t="s">
        <v>128</v>
      </c>
      <c r="C44" s="146"/>
      <c r="D44" s="146"/>
      <c r="E44" s="146"/>
      <c r="F44" s="146"/>
      <c r="G44" s="147"/>
      <c r="H44" s="95">
        <v>1</v>
      </c>
      <c r="I44" s="95">
        <v>10</v>
      </c>
      <c r="J44" s="45">
        <v>0</v>
      </c>
      <c r="K44" s="82"/>
      <c r="L44" s="82"/>
    </row>
    <row r="45" spans="1:15" ht="69" customHeight="1" x14ac:dyDescent="0.35">
      <c r="A45" s="82"/>
      <c r="B45" s="159" t="s">
        <v>211</v>
      </c>
      <c r="C45" s="160"/>
      <c r="D45" s="160"/>
      <c r="E45" s="160"/>
      <c r="F45" s="160"/>
      <c r="G45" s="160"/>
      <c r="H45" s="160"/>
      <c r="I45" s="160"/>
      <c r="J45" s="161"/>
      <c r="K45" s="82"/>
      <c r="L45" s="90"/>
      <c r="M45" s="4"/>
      <c r="N45" s="4"/>
      <c r="O45" s="4"/>
    </row>
    <row r="46" spans="1:15" ht="18" customHeight="1" x14ac:dyDescent="0.35">
      <c r="A46" s="82"/>
      <c r="B46" s="95" t="s">
        <v>146</v>
      </c>
      <c r="C46" s="95" t="s">
        <v>181</v>
      </c>
      <c r="D46" s="95" t="s">
        <v>95</v>
      </c>
      <c r="E46" s="95" t="s">
        <v>187</v>
      </c>
      <c r="F46" s="95">
        <v>95</v>
      </c>
      <c r="G46" s="95">
        <v>791</v>
      </c>
      <c r="H46" s="95">
        <v>1</v>
      </c>
      <c r="I46" s="95">
        <v>9</v>
      </c>
      <c r="J46" s="86" t="s">
        <v>127</v>
      </c>
      <c r="K46" s="82"/>
      <c r="L46" s="90"/>
      <c r="M46" s="91"/>
      <c r="N46" s="92"/>
      <c r="O46" s="91"/>
    </row>
    <row r="47" spans="1:15" ht="69" customHeight="1" x14ac:dyDescent="0.35">
      <c r="A47" s="82"/>
      <c r="B47" s="145" t="s">
        <v>128</v>
      </c>
      <c r="C47" s="146"/>
      <c r="D47" s="146"/>
      <c r="E47" s="146"/>
      <c r="F47" s="146"/>
      <c r="G47" s="147"/>
      <c r="H47" s="45">
        <v>1</v>
      </c>
      <c r="I47" s="95">
        <v>9</v>
      </c>
      <c r="J47" s="45">
        <v>0</v>
      </c>
      <c r="K47" s="82"/>
      <c r="L47" s="90"/>
      <c r="M47" s="4"/>
      <c r="N47" s="4"/>
      <c r="O47" s="4"/>
    </row>
    <row r="48" spans="1:15" ht="62.4" customHeight="1" x14ac:dyDescent="0.35">
      <c r="A48" s="82"/>
      <c r="B48" s="162" t="s">
        <v>212</v>
      </c>
      <c r="C48" s="163"/>
      <c r="D48" s="163"/>
      <c r="E48" s="163"/>
      <c r="F48" s="163"/>
      <c r="G48" s="163"/>
      <c r="H48" s="163"/>
      <c r="I48" s="163"/>
      <c r="J48" s="164"/>
      <c r="K48" s="82"/>
      <c r="L48" s="82"/>
    </row>
    <row r="49" spans="1:12" ht="18" customHeight="1" x14ac:dyDescent="0.35">
      <c r="A49" s="82"/>
      <c r="B49" s="128" t="s">
        <v>151</v>
      </c>
      <c r="C49" s="167" t="s">
        <v>188</v>
      </c>
      <c r="D49" s="95" t="s">
        <v>95</v>
      </c>
      <c r="E49" s="95" t="s">
        <v>194</v>
      </c>
      <c r="F49" s="80">
        <v>60</v>
      </c>
      <c r="G49" s="80">
        <v>280</v>
      </c>
      <c r="H49" s="128">
        <v>1</v>
      </c>
      <c r="I49" s="80">
        <v>5</v>
      </c>
      <c r="J49" s="84" t="s">
        <v>127</v>
      </c>
      <c r="K49" s="82"/>
      <c r="L49" s="82"/>
    </row>
    <row r="50" spans="1:12" ht="18" customHeight="1" x14ac:dyDescent="0.35">
      <c r="A50" s="82"/>
      <c r="B50" s="132"/>
      <c r="C50" s="168"/>
      <c r="D50" s="95" t="s">
        <v>95</v>
      </c>
      <c r="E50" s="95" t="s">
        <v>193</v>
      </c>
      <c r="F50" s="80">
        <v>45</v>
      </c>
      <c r="G50" s="80">
        <v>2</v>
      </c>
      <c r="H50" s="132"/>
      <c r="I50" s="80">
        <v>1</v>
      </c>
      <c r="J50" s="84" t="s">
        <v>127</v>
      </c>
      <c r="K50" s="82"/>
      <c r="L50" s="82"/>
    </row>
    <row r="51" spans="1:12" ht="27.6" customHeight="1" x14ac:dyDescent="0.35">
      <c r="A51" s="82"/>
      <c r="B51" s="133"/>
      <c r="C51" s="169"/>
      <c r="D51" s="95" t="s">
        <v>95</v>
      </c>
      <c r="E51" s="95" t="s">
        <v>175</v>
      </c>
      <c r="F51" s="80">
        <v>105</v>
      </c>
      <c r="G51" s="80">
        <f>44+10</f>
        <v>54</v>
      </c>
      <c r="H51" s="133"/>
      <c r="I51" s="80">
        <v>1</v>
      </c>
      <c r="J51" s="84" t="s">
        <v>127</v>
      </c>
      <c r="K51" s="82"/>
      <c r="L51" s="82"/>
    </row>
    <row r="52" spans="1:12" ht="90" customHeight="1" x14ac:dyDescent="0.35">
      <c r="A52" s="82"/>
      <c r="B52" s="145" t="s">
        <v>128</v>
      </c>
      <c r="C52" s="146"/>
      <c r="D52" s="146"/>
      <c r="E52" s="146"/>
      <c r="F52" s="146"/>
      <c r="G52" s="147"/>
      <c r="H52" s="80">
        <v>1</v>
      </c>
      <c r="I52" s="80">
        <v>7</v>
      </c>
      <c r="J52" s="80">
        <v>0</v>
      </c>
      <c r="K52" s="82"/>
      <c r="L52" s="82"/>
    </row>
    <row r="53" spans="1:12" ht="55.2" customHeight="1" x14ac:dyDescent="0.35">
      <c r="A53" s="82"/>
      <c r="B53" s="159" t="s">
        <v>201</v>
      </c>
      <c r="C53" s="160"/>
      <c r="D53" s="160"/>
      <c r="E53" s="160"/>
      <c r="F53" s="160"/>
      <c r="G53" s="160"/>
      <c r="H53" s="160"/>
      <c r="I53" s="160"/>
      <c r="J53" s="161"/>
      <c r="K53" s="82"/>
      <c r="L53" s="82"/>
    </row>
    <row r="54" spans="1:12" ht="18" customHeight="1" x14ac:dyDescent="0.35">
      <c r="A54" s="82"/>
      <c r="B54" s="128" t="s">
        <v>151</v>
      </c>
      <c r="C54" s="95" t="s">
        <v>176</v>
      </c>
      <c r="D54" s="95" t="s">
        <v>95</v>
      </c>
      <c r="E54" s="95" t="s">
        <v>183</v>
      </c>
      <c r="F54" s="80">
        <v>60</v>
      </c>
      <c r="G54" s="80">
        <f>13+10</f>
        <v>23</v>
      </c>
      <c r="H54" s="128">
        <v>1</v>
      </c>
      <c r="I54" s="80">
        <v>1</v>
      </c>
      <c r="J54" s="86" t="s">
        <v>127</v>
      </c>
      <c r="K54" s="82"/>
      <c r="L54" s="82"/>
    </row>
    <row r="55" spans="1:12" ht="18" customHeight="1" x14ac:dyDescent="0.35">
      <c r="A55" s="82"/>
      <c r="B55" s="132"/>
      <c r="C55" s="95" t="s">
        <v>177</v>
      </c>
      <c r="D55" s="95" t="s">
        <v>95</v>
      </c>
      <c r="E55" s="95" t="s">
        <v>184</v>
      </c>
      <c r="F55" s="80">
        <v>85</v>
      </c>
      <c r="G55" s="80">
        <f>2</f>
        <v>2</v>
      </c>
      <c r="H55" s="132"/>
      <c r="I55" s="80">
        <v>1</v>
      </c>
      <c r="J55" s="86" t="s">
        <v>127</v>
      </c>
      <c r="K55" s="82"/>
      <c r="L55" s="82"/>
    </row>
    <row r="56" spans="1:12" ht="27.6" customHeight="1" x14ac:dyDescent="0.35">
      <c r="A56" s="82"/>
      <c r="B56" s="132"/>
      <c r="C56" s="95" t="s">
        <v>178</v>
      </c>
      <c r="D56" s="95" t="s">
        <v>95</v>
      </c>
      <c r="E56" s="95" t="s">
        <v>183</v>
      </c>
      <c r="F56" s="80">
        <v>75</v>
      </c>
      <c r="G56" s="80">
        <f>44+10</f>
        <v>54</v>
      </c>
      <c r="H56" s="132"/>
      <c r="I56" s="80">
        <v>1</v>
      </c>
      <c r="J56" s="86" t="s">
        <v>127</v>
      </c>
      <c r="K56" s="82"/>
      <c r="L56" s="82"/>
    </row>
    <row r="57" spans="1:12" ht="27.6" x14ac:dyDescent="0.35">
      <c r="A57" s="82"/>
      <c r="B57" s="132"/>
      <c r="C57" s="95" t="s">
        <v>179</v>
      </c>
      <c r="D57" s="95" t="s">
        <v>124</v>
      </c>
      <c r="E57" s="95" t="s">
        <v>183</v>
      </c>
      <c r="F57" s="80">
        <v>200</v>
      </c>
      <c r="G57" s="80">
        <f>40+10*10</f>
        <v>140</v>
      </c>
      <c r="H57" s="132"/>
      <c r="I57" s="80"/>
      <c r="J57" s="80">
        <v>1</v>
      </c>
      <c r="K57" s="82"/>
      <c r="L57" s="82"/>
    </row>
    <row r="58" spans="1:12" ht="27.6" x14ac:dyDescent="0.35">
      <c r="A58" s="82"/>
      <c r="B58" s="132"/>
      <c r="C58" s="95" t="s">
        <v>180</v>
      </c>
      <c r="D58" s="95" t="s">
        <v>95</v>
      </c>
      <c r="E58" s="95" t="s">
        <v>185</v>
      </c>
      <c r="F58" s="80">
        <v>23</v>
      </c>
      <c r="G58" s="80">
        <f>20+2</f>
        <v>22</v>
      </c>
      <c r="H58" s="132"/>
      <c r="I58" s="80">
        <v>1</v>
      </c>
      <c r="J58" s="86" t="s">
        <v>127</v>
      </c>
      <c r="K58" s="82"/>
      <c r="L58" s="82"/>
    </row>
    <row r="59" spans="1:12" ht="55.2" x14ac:dyDescent="0.35">
      <c r="A59" s="82"/>
      <c r="B59" s="132"/>
      <c r="C59" s="95" t="s">
        <v>186</v>
      </c>
      <c r="D59" s="95" t="s">
        <v>95</v>
      </c>
      <c r="E59" s="95" t="s">
        <v>108</v>
      </c>
      <c r="F59" s="80">
        <v>16</v>
      </c>
      <c r="G59" s="80">
        <f>4+20</f>
        <v>24</v>
      </c>
      <c r="H59" s="132"/>
      <c r="I59" s="80">
        <v>2</v>
      </c>
      <c r="J59" s="86" t="s">
        <v>127</v>
      </c>
      <c r="K59" s="82"/>
      <c r="L59" s="82"/>
    </row>
    <row r="60" spans="1:12" ht="27.6" x14ac:dyDescent="0.35">
      <c r="A60" s="82"/>
      <c r="B60" s="133"/>
      <c r="C60" s="95" t="s">
        <v>182</v>
      </c>
      <c r="D60" s="95" t="s">
        <v>124</v>
      </c>
      <c r="E60" s="95" t="s">
        <v>108</v>
      </c>
      <c r="F60" s="80">
        <v>25</v>
      </c>
      <c r="G60" s="80">
        <v>29</v>
      </c>
      <c r="H60" s="133"/>
      <c r="I60" s="80">
        <v>2</v>
      </c>
      <c r="J60" s="86" t="s">
        <v>127</v>
      </c>
      <c r="K60" s="82"/>
      <c r="L60" s="82"/>
    </row>
    <row r="61" spans="1:12" ht="90" customHeight="1" x14ac:dyDescent="0.35">
      <c r="A61" s="82"/>
      <c r="B61" s="145" t="s">
        <v>128</v>
      </c>
      <c r="C61" s="146"/>
      <c r="D61" s="146"/>
      <c r="E61" s="146"/>
      <c r="F61" s="146"/>
      <c r="G61" s="147"/>
      <c r="H61" s="80">
        <v>1</v>
      </c>
      <c r="I61" s="80">
        <v>8</v>
      </c>
      <c r="J61" s="80">
        <v>1</v>
      </c>
      <c r="K61" s="82"/>
      <c r="L61" s="82"/>
    </row>
    <row r="62" spans="1:12" ht="55.2" customHeight="1" x14ac:dyDescent="0.35">
      <c r="A62" s="82"/>
      <c r="B62" s="159" t="s">
        <v>213</v>
      </c>
      <c r="C62" s="160"/>
      <c r="D62" s="160"/>
      <c r="E62" s="160"/>
      <c r="F62" s="160"/>
      <c r="G62" s="160"/>
      <c r="H62" s="160"/>
      <c r="I62" s="160"/>
      <c r="J62" s="161"/>
      <c r="K62" s="82"/>
      <c r="L62" s="82"/>
    </row>
    <row r="63" spans="1:12" ht="18" customHeight="1" x14ac:dyDescent="0.35">
      <c r="A63" s="82"/>
      <c r="B63" s="80" t="s">
        <v>151</v>
      </c>
      <c r="C63" s="95" t="s">
        <v>181</v>
      </c>
      <c r="D63" s="95" t="s">
        <v>124</v>
      </c>
      <c r="E63" s="95" t="s">
        <v>187</v>
      </c>
      <c r="F63" s="80">
        <v>50</v>
      </c>
      <c r="G63" s="80">
        <v>500</v>
      </c>
      <c r="H63" s="80">
        <v>1</v>
      </c>
      <c r="I63" s="84" t="s">
        <v>127</v>
      </c>
      <c r="J63" s="80">
        <v>10</v>
      </c>
      <c r="K63" s="82"/>
      <c r="L63" s="82"/>
    </row>
    <row r="64" spans="1:12" ht="18" customHeight="1" x14ac:dyDescent="0.35">
      <c r="A64" s="82"/>
      <c r="B64" s="145" t="s">
        <v>128</v>
      </c>
      <c r="C64" s="146"/>
      <c r="D64" s="146"/>
      <c r="E64" s="146"/>
      <c r="F64" s="146"/>
      <c r="G64" s="147"/>
      <c r="H64" s="80">
        <v>1</v>
      </c>
      <c r="I64" s="80">
        <v>0</v>
      </c>
      <c r="J64" s="80">
        <v>10</v>
      </c>
      <c r="K64" s="82"/>
      <c r="L64" s="82"/>
    </row>
    <row r="65" spans="1:12" ht="55.2" customHeight="1" x14ac:dyDescent="0.35">
      <c r="A65" s="82"/>
      <c r="B65" s="159" t="s">
        <v>214</v>
      </c>
      <c r="C65" s="160"/>
      <c r="D65" s="160"/>
      <c r="E65" s="160"/>
      <c r="F65" s="160"/>
      <c r="G65" s="160"/>
      <c r="H65" s="160"/>
      <c r="I65" s="160"/>
      <c r="J65" s="161"/>
      <c r="K65" s="82"/>
      <c r="L65" s="82"/>
    </row>
    <row r="66" spans="1:12" ht="18" customHeight="1" x14ac:dyDescent="0.35">
      <c r="A66" s="82"/>
      <c r="B66" s="80" t="s">
        <v>151</v>
      </c>
      <c r="C66" s="95" t="s">
        <v>181</v>
      </c>
      <c r="D66" s="95" t="s">
        <v>124</v>
      </c>
      <c r="E66" s="95" t="s">
        <v>187</v>
      </c>
      <c r="F66" s="80">
        <v>50</v>
      </c>
      <c r="G66" s="80">
        <f>(500+33+310+93)-500</f>
        <v>436</v>
      </c>
      <c r="H66" s="80">
        <v>1</v>
      </c>
      <c r="I66" s="84" t="s">
        <v>127</v>
      </c>
      <c r="J66" s="80">
        <v>9</v>
      </c>
      <c r="K66" s="82"/>
      <c r="L66" s="82"/>
    </row>
    <row r="67" spans="1:12" ht="18" customHeight="1" x14ac:dyDescent="0.35">
      <c r="A67" s="82"/>
      <c r="B67" s="145" t="s">
        <v>128</v>
      </c>
      <c r="C67" s="146"/>
      <c r="D67" s="146"/>
      <c r="E67" s="146"/>
      <c r="F67" s="146"/>
      <c r="G67" s="147"/>
      <c r="H67" s="45">
        <v>1</v>
      </c>
      <c r="I67" s="80">
        <v>0</v>
      </c>
      <c r="J67" s="80">
        <v>9</v>
      </c>
      <c r="K67" s="82"/>
      <c r="L67" s="82"/>
    </row>
    <row r="68" spans="1:12" ht="69" customHeight="1" x14ac:dyDescent="0.35">
      <c r="A68" s="82"/>
      <c r="B68" s="159" t="s">
        <v>202</v>
      </c>
      <c r="C68" s="160"/>
      <c r="D68" s="160"/>
      <c r="E68" s="160"/>
      <c r="F68" s="160"/>
      <c r="G68" s="160"/>
      <c r="H68" s="160"/>
      <c r="I68" s="160"/>
      <c r="J68" s="161"/>
      <c r="K68" s="82"/>
      <c r="L68" s="82"/>
    </row>
    <row r="69" spans="1:12" ht="18" customHeight="1" x14ac:dyDescent="0.35">
      <c r="A69" s="82"/>
      <c r="B69" s="128" t="s">
        <v>151</v>
      </c>
      <c r="C69" s="167" t="s">
        <v>188</v>
      </c>
      <c r="D69" s="95" t="s">
        <v>95</v>
      </c>
      <c r="E69" s="95" t="s">
        <v>190</v>
      </c>
      <c r="F69" s="80">
        <v>120</v>
      </c>
      <c r="G69" s="80">
        <f>280+10</f>
        <v>290</v>
      </c>
      <c r="H69" s="128">
        <v>1</v>
      </c>
      <c r="I69" s="80">
        <v>3</v>
      </c>
      <c r="J69" s="84" t="s">
        <v>127</v>
      </c>
      <c r="K69" s="82"/>
      <c r="L69" s="82"/>
    </row>
    <row r="70" spans="1:12" ht="18" customHeight="1" x14ac:dyDescent="0.35">
      <c r="A70" s="82"/>
      <c r="B70" s="132"/>
      <c r="C70" s="169"/>
      <c r="D70" s="95" t="s">
        <v>95</v>
      </c>
      <c r="E70" s="95" t="s">
        <v>192</v>
      </c>
      <c r="F70" s="80">
        <v>220</v>
      </c>
      <c r="G70" s="80">
        <f>44+10</f>
        <v>54</v>
      </c>
      <c r="H70" s="132"/>
      <c r="I70" s="80">
        <v>1</v>
      </c>
      <c r="J70" s="84" t="s">
        <v>127</v>
      </c>
      <c r="K70" s="82"/>
      <c r="L70" s="82"/>
    </row>
    <row r="71" spans="1:12" ht="18" customHeight="1" x14ac:dyDescent="0.35">
      <c r="A71" s="82"/>
      <c r="B71" s="132"/>
      <c r="C71" s="95" t="s">
        <v>189</v>
      </c>
      <c r="D71" s="95" t="s">
        <v>95</v>
      </c>
      <c r="E71" s="95" t="s">
        <v>184</v>
      </c>
      <c r="F71" s="80">
        <v>295</v>
      </c>
      <c r="G71" s="80">
        <f>2</f>
        <v>2</v>
      </c>
      <c r="H71" s="132"/>
      <c r="I71" s="80">
        <v>1</v>
      </c>
      <c r="J71" s="84" t="s">
        <v>127</v>
      </c>
      <c r="K71" s="82"/>
      <c r="L71" s="82"/>
    </row>
    <row r="72" spans="1:12" ht="55.2" customHeight="1" x14ac:dyDescent="0.35">
      <c r="A72" s="82"/>
      <c r="B72" s="132"/>
      <c r="C72" s="167" t="s">
        <v>195</v>
      </c>
      <c r="D72" s="95" t="s">
        <v>95</v>
      </c>
      <c r="E72" s="95" t="s">
        <v>190</v>
      </c>
      <c r="F72" s="80">
        <v>204</v>
      </c>
      <c r="G72" s="80">
        <f>13+10</f>
        <v>23</v>
      </c>
      <c r="H72" s="132"/>
      <c r="I72" s="80">
        <v>1</v>
      </c>
      <c r="J72" s="84" t="s">
        <v>127</v>
      </c>
      <c r="K72" s="82"/>
      <c r="L72" s="82"/>
    </row>
    <row r="73" spans="1:12" x14ac:dyDescent="0.35">
      <c r="A73" s="82"/>
      <c r="B73" s="132"/>
      <c r="C73" s="168"/>
      <c r="D73" s="95" t="s">
        <v>95</v>
      </c>
      <c r="E73" s="95" t="s">
        <v>175</v>
      </c>
      <c r="F73" s="80">
        <v>183</v>
      </c>
      <c r="G73" s="80">
        <f>46+10</f>
        <v>56</v>
      </c>
      <c r="H73" s="132"/>
      <c r="I73" s="80">
        <v>1</v>
      </c>
      <c r="J73" s="84" t="s">
        <v>127</v>
      </c>
      <c r="K73" s="82"/>
      <c r="L73" s="82"/>
    </row>
    <row r="74" spans="1:12" ht="18" customHeight="1" x14ac:dyDescent="0.35">
      <c r="A74" s="82"/>
      <c r="B74" s="132"/>
      <c r="C74" s="168"/>
      <c r="D74" s="95" t="s">
        <v>95</v>
      </c>
      <c r="E74" s="95" t="s">
        <v>191</v>
      </c>
      <c r="F74" s="80">
        <v>600</v>
      </c>
      <c r="G74" s="80">
        <f>140</f>
        <v>140</v>
      </c>
      <c r="H74" s="132"/>
      <c r="I74" s="80">
        <v>1</v>
      </c>
      <c r="J74" s="84" t="s">
        <v>127</v>
      </c>
      <c r="K74" s="82"/>
      <c r="L74" s="82"/>
    </row>
    <row r="75" spans="1:12" ht="27.6" x14ac:dyDescent="0.35">
      <c r="A75" s="82"/>
      <c r="B75" s="132"/>
      <c r="C75" s="169"/>
      <c r="D75" s="95" t="s">
        <v>95</v>
      </c>
      <c r="E75" s="95" t="s">
        <v>180</v>
      </c>
      <c r="F75" s="80">
        <v>197</v>
      </c>
      <c r="G75" s="80">
        <v>22</v>
      </c>
      <c r="H75" s="132"/>
      <c r="I75" s="80">
        <v>1</v>
      </c>
      <c r="J75" s="84" t="s">
        <v>127</v>
      </c>
      <c r="K75" s="82"/>
      <c r="L75" s="82"/>
    </row>
    <row r="76" spans="1:12" ht="55.2" x14ac:dyDescent="0.35">
      <c r="A76" s="82"/>
      <c r="B76" s="133"/>
      <c r="C76" s="95" t="s">
        <v>186</v>
      </c>
      <c r="D76" s="95" t="s">
        <v>95</v>
      </c>
      <c r="E76" s="95" t="s">
        <v>108</v>
      </c>
      <c r="F76" s="80">
        <v>40</v>
      </c>
      <c r="G76" s="80">
        <v>24</v>
      </c>
      <c r="H76" s="133"/>
      <c r="I76" s="80">
        <v>1</v>
      </c>
      <c r="J76" s="84" t="s">
        <v>127</v>
      </c>
      <c r="K76" s="82"/>
      <c r="L76" s="82"/>
    </row>
    <row r="77" spans="1:12" ht="90" customHeight="1" x14ac:dyDescent="0.35">
      <c r="A77" s="82"/>
      <c r="B77" s="145" t="s">
        <v>128</v>
      </c>
      <c r="C77" s="146"/>
      <c r="D77" s="146"/>
      <c r="E77" s="146"/>
      <c r="F77" s="146"/>
      <c r="G77" s="147"/>
      <c r="H77" s="45">
        <v>1</v>
      </c>
      <c r="I77" s="45">
        <f>SUM(I69:I76)</f>
        <v>10</v>
      </c>
      <c r="J77" s="45">
        <v>0</v>
      </c>
      <c r="K77" s="82"/>
      <c r="L77" s="82"/>
    </row>
    <row r="78" spans="1:12" ht="69" customHeight="1" x14ac:dyDescent="0.35">
      <c r="A78" s="82"/>
      <c r="B78" s="159" t="s">
        <v>215</v>
      </c>
      <c r="C78" s="160"/>
      <c r="D78" s="160"/>
      <c r="E78" s="160"/>
      <c r="F78" s="160"/>
      <c r="G78" s="160"/>
      <c r="H78" s="160"/>
      <c r="I78" s="160"/>
      <c r="J78" s="161"/>
      <c r="K78" s="82"/>
      <c r="L78" s="82"/>
    </row>
    <row r="79" spans="1:12" ht="18" customHeight="1" x14ac:dyDescent="0.35">
      <c r="A79" s="82"/>
      <c r="B79" s="165" t="s">
        <v>151</v>
      </c>
      <c r="C79" s="95" t="s">
        <v>181</v>
      </c>
      <c r="D79" s="95" t="s">
        <v>95</v>
      </c>
      <c r="E79" s="95" t="s">
        <v>187</v>
      </c>
      <c r="F79" s="80">
        <v>105</v>
      </c>
      <c r="G79" s="80">
        <v>936</v>
      </c>
      <c r="H79" s="128">
        <v>1</v>
      </c>
      <c r="I79" s="80">
        <v>9</v>
      </c>
      <c r="J79" s="84" t="s">
        <v>127</v>
      </c>
      <c r="K79" s="82"/>
      <c r="L79" s="82"/>
    </row>
    <row r="80" spans="1:12" ht="18" customHeight="1" x14ac:dyDescent="0.35">
      <c r="A80" s="82"/>
      <c r="B80" s="166"/>
      <c r="C80" s="95" t="s">
        <v>182</v>
      </c>
      <c r="D80" s="95" t="s">
        <v>95</v>
      </c>
      <c r="E80" s="95" t="s">
        <v>108</v>
      </c>
      <c r="F80" s="80">
        <v>100</v>
      </c>
      <c r="G80" s="80">
        <v>29</v>
      </c>
      <c r="H80" s="133"/>
      <c r="I80" s="80">
        <v>1</v>
      </c>
      <c r="J80" s="84" t="s">
        <v>127</v>
      </c>
      <c r="K80" s="82"/>
      <c r="L80" s="82"/>
    </row>
    <row r="81" spans="1:12" ht="27.6" customHeight="1" x14ac:dyDescent="0.35">
      <c r="A81" s="82"/>
      <c r="B81" s="145" t="s">
        <v>128</v>
      </c>
      <c r="C81" s="146"/>
      <c r="D81" s="146"/>
      <c r="E81" s="146"/>
      <c r="F81" s="146"/>
      <c r="G81" s="147"/>
      <c r="H81" s="45">
        <v>1</v>
      </c>
      <c r="I81" s="45">
        <v>10</v>
      </c>
      <c r="J81" s="45">
        <v>0</v>
      </c>
      <c r="K81" s="82"/>
      <c r="L81" s="82"/>
    </row>
    <row r="82" spans="1:12" ht="78" customHeight="1" x14ac:dyDescent="0.35">
      <c r="A82" s="82"/>
      <c r="B82" s="162" t="s">
        <v>216</v>
      </c>
      <c r="C82" s="163"/>
      <c r="D82" s="163"/>
      <c r="E82" s="163"/>
      <c r="F82" s="163"/>
      <c r="G82" s="163"/>
      <c r="H82" s="163"/>
      <c r="I82" s="163"/>
      <c r="J82" s="164"/>
      <c r="K82" s="82"/>
      <c r="L82" s="82"/>
    </row>
    <row r="83" spans="1:12" ht="18" customHeight="1" x14ac:dyDescent="0.35">
      <c r="A83" s="82"/>
      <c r="B83" s="128" t="s">
        <v>160</v>
      </c>
      <c r="C83" s="167" t="s">
        <v>188</v>
      </c>
      <c r="D83" s="95" t="s">
        <v>95</v>
      </c>
      <c r="E83" s="95" t="s">
        <v>194</v>
      </c>
      <c r="F83" s="80">
        <v>60</v>
      </c>
      <c r="G83" s="80">
        <v>0</v>
      </c>
      <c r="H83" s="128">
        <v>1</v>
      </c>
      <c r="I83" s="80">
        <f>G83/F83</f>
        <v>0</v>
      </c>
      <c r="J83" s="84" t="s">
        <v>127</v>
      </c>
      <c r="K83" s="82"/>
      <c r="L83" s="82"/>
    </row>
    <row r="84" spans="1:12" ht="18" customHeight="1" x14ac:dyDescent="0.35">
      <c r="A84" s="82"/>
      <c r="B84" s="132"/>
      <c r="C84" s="168"/>
      <c r="D84" s="95" t="s">
        <v>95</v>
      </c>
      <c r="E84" s="95" t="s">
        <v>193</v>
      </c>
      <c r="F84" s="80">
        <v>45</v>
      </c>
      <c r="G84" s="80">
        <v>0</v>
      </c>
      <c r="H84" s="132"/>
      <c r="I84" s="80">
        <f>G84/F84</f>
        <v>0</v>
      </c>
      <c r="J84" s="84" t="s">
        <v>127</v>
      </c>
      <c r="K84" s="82"/>
      <c r="L84" s="82"/>
    </row>
    <row r="85" spans="1:12" ht="27.6" customHeight="1" x14ac:dyDescent="0.35">
      <c r="A85" s="82"/>
      <c r="B85" s="132"/>
      <c r="C85" s="169"/>
      <c r="D85" s="95" t="s">
        <v>95</v>
      </c>
      <c r="E85" s="95" t="s">
        <v>175</v>
      </c>
      <c r="F85" s="80">
        <v>105</v>
      </c>
      <c r="G85" s="80">
        <v>2</v>
      </c>
      <c r="H85" s="132"/>
      <c r="I85" s="80">
        <v>1</v>
      </c>
      <c r="J85" s="84" t="s">
        <v>127</v>
      </c>
      <c r="K85" s="82"/>
      <c r="L85" s="82"/>
    </row>
    <row r="86" spans="1:12" ht="27.6" x14ac:dyDescent="0.35">
      <c r="A86" s="82"/>
      <c r="B86" s="132"/>
      <c r="C86" s="95" t="s">
        <v>176</v>
      </c>
      <c r="D86" s="95" t="s">
        <v>95</v>
      </c>
      <c r="E86" s="95" t="s">
        <v>183</v>
      </c>
      <c r="F86" s="80">
        <v>60</v>
      </c>
      <c r="G86" s="80">
        <v>2</v>
      </c>
      <c r="H86" s="132"/>
      <c r="I86" s="80">
        <v>1</v>
      </c>
      <c r="J86" s="84" t="s">
        <v>127</v>
      </c>
      <c r="K86" s="82"/>
      <c r="L86" s="82"/>
    </row>
    <row r="87" spans="1:12" ht="27.6" x14ac:dyDescent="0.35">
      <c r="A87" s="82"/>
      <c r="B87" s="132"/>
      <c r="C87" s="95" t="s">
        <v>177</v>
      </c>
      <c r="D87" s="95" t="s">
        <v>95</v>
      </c>
      <c r="E87" s="95" t="s">
        <v>184</v>
      </c>
      <c r="F87" s="80">
        <v>95</v>
      </c>
      <c r="G87" s="80">
        <v>0</v>
      </c>
      <c r="H87" s="132"/>
      <c r="I87" s="80">
        <f>G87/F87</f>
        <v>0</v>
      </c>
      <c r="J87" s="84" t="s">
        <v>127</v>
      </c>
      <c r="K87" s="82"/>
      <c r="L87" s="82"/>
    </row>
    <row r="88" spans="1:12" ht="27.6" x14ac:dyDescent="0.35">
      <c r="A88" s="82"/>
      <c r="B88" s="132"/>
      <c r="C88" s="95" t="s">
        <v>178</v>
      </c>
      <c r="D88" s="95" t="s">
        <v>95</v>
      </c>
      <c r="E88" s="95" t="s">
        <v>183</v>
      </c>
      <c r="F88" s="80">
        <v>75</v>
      </c>
      <c r="G88" s="80">
        <v>2</v>
      </c>
      <c r="H88" s="132"/>
      <c r="I88" s="80">
        <v>1</v>
      </c>
      <c r="J88" s="84" t="s">
        <v>127</v>
      </c>
      <c r="K88" s="82"/>
      <c r="L88" s="82"/>
    </row>
    <row r="89" spans="1:12" ht="27.6" x14ac:dyDescent="0.35">
      <c r="A89" s="82"/>
      <c r="B89" s="132"/>
      <c r="C89" s="95" t="s">
        <v>179</v>
      </c>
      <c r="D89" s="95" t="s">
        <v>124</v>
      </c>
      <c r="E89" s="95" t="s">
        <v>183</v>
      </c>
      <c r="F89" s="80">
        <v>200</v>
      </c>
      <c r="G89" s="80">
        <v>20</v>
      </c>
      <c r="H89" s="132"/>
      <c r="I89" s="84" t="s">
        <v>127</v>
      </c>
      <c r="J89" s="80">
        <v>1</v>
      </c>
      <c r="K89" s="82"/>
      <c r="L89" s="82"/>
    </row>
    <row r="90" spans="1:12" ht="27.6" x14ac:dyDescent="0.35">
      <c r="A90" s="82"/>
      <c r="B90" s="132"/>
      <c r="C90" s="95" t="s">
        <v>180</v>
      </c>
      <c r="D90" s="95" t="s">
        <v>95</v>
      </c>
      <c r="E90" s="95" t="s">
        <v>185</v>
      </c>
      <c r="F90" s="80">
        <v>24</v>
      </c>
      <c r="G90" s="80">
        <v>4</v>
      </c>
      <c r="H90" s="132"/>
      <c r="I90" s="80">
        <v>1</v>
      </c>
      <c r="J90" s="84" t="s">
        <v>127</v>
      </c>
      <c r="K90" s="82"/>
      <c r="L90" s="82"/>
    </row>
    <row r="91" spans="1:12" ht="55.2" x14ac:dyDescent="0.35">
      <c r="A91" s="82"/>
      <c r="B91" s="132"/>
      <c r="C91" s="95" t="s">
        <v>186</v>
      </c>
      <c r="D91" s="95" t="s">
        <v>95</v>
      </c>
      <c r="E91" s="95" t="s">
        <v>108</v>
      </c>
      <c r="F91" s="80">
        <v>16</v>
      </c>
      <c r="G91" s="80">
        <v>4</v>
      </c>
      <c r="H91" s="132"/>
      <c r="I91" s="80">
        <v>1</v>
      </c>
      <c r="J91" s="84" t="s">
        <v>127</v>
      </c>
      <c r="K91" s="82"/>
      <c r="L91" s="82"/>
    </row>
    <row r="92" spans="1:12" ht="27.6" x14ac:dyDescent="0.35">
      <c r="A92" s="82"/>
      <c r="B92" s="132"/>
      <c r="C92" s="95" t="s">
        <v>181</v>
      </c>
      <c r="D92" s="95" t="s">
        <v>124</v>
      </c>
      <c r="E92" s="95" t="s">
        <v>187</v>
      </c>
      <c r="F92" s="80">
        <v>50</v>
      </c>
      <c r="G92" s="80">
        <f>50+27+28</f>
        <v>105</v>
      </c>
      <c r="H92" s="132"/>
      <c r="I92" s="84" t="s">
        <v>127</v>
      </c>
      <c r="J92" s="80">
        <v>3</v>
      </c>
      <c r="K92" s="82"/>
      <c r="L92" s="82"/>
    </row>
    <row r="93" spans="1:12" ht="27.6" x14ac:dyDescent="0.35">
      <c r="A93" s="82"/>
      <c r="B93" s="133"/>
      <c r="C93" s="95" t="s">
        <v>182</v>
      </c>
      <c r="D93" s="95" t="s">
        <v>124</v>
      </c>
      <c r="E93" s="95" t="s">
        <v>108</v>
      </c>
      <c r="F93" s="80">
        <v>25</v>
      </c>
      <c r="G93" s="80">
        <v>0</v>
      </c>
      <c r="H93" s="133"/>
      <c r="I93" s="84" t="s">
        <v>127</v>
      </c>
      <c r="J93" s="80">
        <f>G93/F93</f>
        <v>0</v>
      </c>
      <c r="K93" s="82"/>
      <c r="L93" s="82"/>
    </row>
    <row r="94" spans="1:12" ht="90" customHeight="1" x14ac:dyDescent="0.35">
      <c r="A94" s="82"/>
      <c r="B94" s="145" t="s">
        <v>128</v>
      </c>
      <c r="C94" s="146"/>
      <c r="D94" s="146"/>
      <c r="E94" s="146"/>
      <c r="F94" s="146"/>
      <c r="G94" s="147"/>
      <c r="H94" s="80">
        <v>1</v>
      </c>
      <c r="I94" s="80">
        <f>SUM(I83:I93)</f>
        <v>5</v>
      </c>
      <c r="J94" s="80">
        <f>SUM(J83:J93)</f>
        <v>4</v>
      </c>
      <c r="K94" s="82"/>
      <c r="L94" s="82"/>
    </row>
    <row r="95" spans="1:12" ht="69" customHeight="1" x14ac:dyDescent="0.35">
      <c r="A95" s="82"/>
      <c r="B95" s="159" t="s">
        <v>203</v>
      </c>
      <c r="C95" s="160"/>
      <c r="D95" s="160"/>
      <c r="E95" s="160"/>
      <c r="F95" s="160"/>
      <c r="G95" s="160"/>
      <c r="H95" s="160"/>
      <c r="I95" s="160"/>
      <c r="J95" s="161"/>
      <c r="K95" s="82"/>
      <c r="L95" s="82"/>
    </row>
    <row r="96" spans="1:12" ht="18" customHeight="1" x14ac:dyDescent="0.35">
      <c r="A96" s="82"/>
      <c r="B96" s="128" t="s">
        <v>160</v>
      </c>
      <c r="C96" s="167" t="s">
        <v>188</v>
      </c>
      <c r="D96" s="95" t="s">
        <v>95</v>
      </c>
      <c r="E96" s="95" t="s">
        <v>190</v>
      </c>
      <c r="F96" s="80">
        <v>120</v>
      </c>
      <c r="G96" s="80">
        <v>2</v>
      </c>
      <c r="H96" s="128">
        <v>1</v>
      </c>
      <c r="I96" s="80">
        <v>1</v>
      </c>
      <c r="J96" s="84" t="s">
        <v>127</v>
      </c>
      <c r="K96" s="82"/>
      <c r="L96" s="82"/>
    </row>
    <row r="97" spans="1:12" ht="18" customHeight="1" x14ac:dyDescent="0.35">
      <c r="A97" s="82"/>
      <c r="B97" s="132"/>
      <c r="C97" s="169"/>
      <c r="D97" s="95" t="s">
        <v>95</v>
      </c>
      <c r="E97" s="95" t="s">
        <v>192</v>
      </c>
      <c r="F97" s="80">
        <v>220</v>
      </c>
      <c r="G97" s="80">
        <v>2</v>
      </c>
      <c r="H97" s="132"/>
      <c r="I97" s="80">
        <v>1</v>
      </c>
      <c r="J97" s="84" t="s">
        <v>127</v>
      </c>
      <c r="K97" s="82"/>
      <c r="L97" s="82"/>
    </row>
    <row r="98" spans="1:12" ht="18" customHeight="1" x14ac:dyDescent="0.35">
      <c r="A98" s="82"/>
      <c r="B98" s="132"/>
      <c r="C98" s="95" t="s">
        <v>189</v>
      </c>
      <c r="D98" s="95" t="s">
        <v>95</v>
      </c>
      <c r="E98" s="95" t="s">
        <v>184</v>
      </c>
      <c r="F98" s="80">
        <v>310</v>
      </c>
      <c r="G98" s="80">
        <v>0</v>
      </c>
      <c r="H98" s="132"/>
      <c r="I98" s="80">
        <f t="shared" ref="I98:I100" si="0">G98/F98</f>
        <v>0</v>
      </c>
      <c r="J98" s="84" t="s">
        <v>127</v>
      </c>
      <c r="K98" s="82"/>
      <c r="L98" s="82"/>
    </row>
    <row r="99" spans="1:12" ht="55.2" customHeight="1" x14ac:dyDescent="0.35">
      <c r="A99" s="82"/>
      <c r="B99" s="132"/>
      <c r="C99" s="167" t="s">
        <v>195</v>
      </c>
      <c r="D99" s="95" t="s">
        <v>95</v>
      </c>
      <c r="E99" s="95" t="s">
        <v>190</v>
      </c>
      <c r="F99" s="80">
        <v>212</v>
      </c>
      <c r="G99" s="80">
        <v>0</v>
      </c>
      <c r="H99" s="132"/>
      <c r="I99" s="80">
        <f t="shared" si="0"/>
        <v>0</v>
      </c>
      <c r="J99" s="84" t="s">
        <v>127</v>
      </c>
      <c r="K99" s="82"/>
      <c r="L99" s="82"/>
    </row>
    <row r="100" spans="1:12" x14ac:dyDescent="0.35">
      <c r="A100" s="82"/>
      <c r="B100" s="132"/>
      <c r="C100" s="168"/>
      <c r="D100" s="95" t="s">
        <v>95</v>
      </c>
      <c r="E100" s="95" t="s">
        <v>175</v>
      </c>
      <c r="F100" s="80">
        <v>190</v>
      </c>
      <c r="G100" s="80">
        <v>0</v>
      </c>
      <c r="H100" s="132"/>
      <c r="I100" s="80">
        <f t="shared" si="0"/>
        <v>0</v>
      </c>
      <c r="J100" s="84" t="s">
        <v>127</v>
      </c>
      <c r="K100" s="82"/>
      <c r="L100" s="82"/>
    </row>
    <row r="101" spans="1:12" ht="18" customHeight="1" x14ac:dyDescent="0.35">
      <c r="A101" s="82"/>
      <c r="B101" s="132"/>
      <c r="C101" s="168"/>
      <c r="D101" s="95" t="s">
        <v>95</v>
      </c>
      <c r="E101" s="95" t="s">
        <v>191</v>
      </c>
      <c r="F101" s="80">
        <v>600</v>
      </c>
      <c r="G101" s="80">
        <v>20</v>
      </c>
      <c r="H101" s="132"/>
      <c r="I101" s="80">
        <v>1</v>
      </c>
      <c r="J101" s="84" t="s">
        <v>127</v>
      </c>
      <c r="K101" s="82"/>
      <c r="L101" s="82"/>
    </row>
    <row r="102" spans="1:12" ht="27.6" x14ac:dyDescent="0.35">
      <c r="A102" s="82"/>
      <c r="B102" s="132"/>
      <c r="C102" s="169"/>
      <c r="D102" s="95" t="s">
        <v>95</v>
      </c>
      <c r="E102" s="95" t="s">
        <v>180</v>
      </c>
      <c r="F102" s="80">
        <v>210</v>
      </c>
      <c r="G102" s="80">
        <v>4</v>
      </c>
      <c r="H102" s="132"/>
      <c r="I102" s="80">
        <v>1</v>
      </c>
      <c r="J102" s="84" t="s">
        <v>127</v>
      </c>
      <c r="K102" s="82"/>
      <c r="L102" s="82"/>
    </row>
    <row r="103" spans="1:12" ht="55.2" x14ac:dyDescent="0.35">
      <c r="A103" s="82"/>
      <c r="B103" s="132"/>
      <c r="C103" s="95" t="s">
        <v>186</v>
      </c>
      <c r="D103" s="95" t="s">
        <v>95</v>
      </c>
      <c r="E103" s="95" t="s">
        <v>108</v>
      </c>
      <c r="F103" s="80">
        <v>50</v>
      </c>
      <c r="G103" s="80">
        <v>4</v>
      </c>
      <c r="H103" s="132"/>
      <c r="I103" s="80">
        <v>1</v>
      </c>
      <c r="J103" s="84" t="s">
        <v>127</v>
      </c>
      <c r="K103" s="82"/>
      <c r="L103" s="82"/>
    </row>
    <row r="104" spans="1:12" ht="27.6" x14ac:dyDescent="0.35">
      <c r="A104" s="82"/>
      <c r="B104" s="132"/>
      <c r="C104" s="95" t="s">
        <v>181</v>
      </c>
      <c r="D104" s="95" t="s">
        <v>95</v>
      </c>
      <c r="E104" s="95" t="s">
        <v>187</v>
      </c>
      <c r="F104" s="80">
        <v>120</v>
      </c>
      <c r="G104" s="80">
        <f>50+27+28</f>
        <v>105</v>
      </c>
      <c r="H104" s="132"/>
      <c r="I104" s="80">
        <v>1</v>
      </c>
      <c r="J104" s="84" t="s">
        <v>127</v>
      </c>
      <c r="K104" s="82"/>
      <c r="L104" s="82"/>
    </row>
    <row r="105" spans="1:12" ht="27.6" x14ac:dyDescent="0.35">
      <c r="A105" s="82"/>
      <c r="B105" s="133"/>
      <c r="C105" s="95" t="s">
        <v>182</v>
      </c>
      <c r="D105" s="95" t="s">
        <v>95</v>
      </c>
      <c r="E105" s="95" t="s">
        <v>108</v>
      </c>
      <c r="F105" s="80">
        <v>110</v>
      </c>
      <c r="G105" s="80">
        <v>0</v>
      </c>
      <c r="H105" s="133"/>
      <c r="I105" s="80">
        <f>G105/F105</f>
        <v>0</v>
      </c>
      <c r="J105" s="84" t="s">
        <v>127</v>
      </c>
      <c r="K105" s="82"/>
      <c r="L105" s="82"/>
    </row>
    <row r="106" spans="1:12" ht="90" customHeight="1" x14ac:dyDescent="0.35">
      <c r="A106" s="82"/>
      <c r="B106" s="145" t="s">
        <v>128</v>
      </c>
      <c r="C106" s="146"/>
      <c r="D106" s="146"/>
      <c r="E106" s="146"/>
      <c r="F106" s="146"/>
      <c r="G106" s="147"/>
      <c r="H106" s="80">
        <v>1</v>
      </c>
      <c r="I106" s="80">
        <v>6</v>
      </c>
      <c r="J106" s="80">
        <v>0</v>
      </c>
      <c r="K106" s="82"/>
      <c r="L106" s="82"/>
    </row>
    <row r="107" spans="1:12" ht="78" customHeight="1" x14ac:dyDescent="0.35">
      <c r="A107" s="82"/>
      <c r="B107" s="162" t="s">
        <v>217</v>
      </c>
      <c r="C107" s="163"/>
      <c r="D107" s="163"/>
      <c r="E107" s="163"/>
      <c r="F107" s="163"/>
      <c r="G107" s="163"/>
      <c r="H107" s="163"/>
      <c r="I107" s="163"/>
      <c r="J107" s="164"/>
      <c r="K107" s="82"/>
      <c r="L107" s="82"/>
    </row>
    <row r="108" spans="1:12" ht="18" customHeight="1" x14ac:dyDescent="0.35">
      <c r="A108" s="82"/>
      <c r="B108" s="128" t="s">
        <v>161</v>
      </c>
      <c r="C108" s="167" t="s">
        <v>188</v>
      </c>
      <c r="D108" s="95" t="s">
        <v>95</v>
      </c>
      <c r="E108" s="95" t="s">
        <v>194</v>
      </c>
      <c r="F108" s="80">
        <v>60</v>
      </c>
      <c r="G108" s="80">
        <v>0</v>
      </c>
      <c r="H108" s="128">
        <v>1</v>
      </c>
      <c r="I108" s="80">
        <f>G108/F108</f>
        <v>0</v>
      </c>
      <c r="J108" s="86" t="s">
        <v>127</v>
      </c>
      <c r="K108" s="82"/>
      <c r="L108" s="82"/>
    </row>
    <row r="109" spans="1:12" ht="18" customHeight="1" x14ac:dyDescent="0.35">
      <c r="A109" s="82"/>
      <c r="B109" s="132"/>
      <c r="C109" s="168"/>
      <c r="D109" s="95" t="s">
        <v>95</v>
      </c>
      <c r="E109" s="95" t="s">
        <v>193</v>
      </c>
      <c r="F109" s="80">
        <v>45</v>
      </c>
      <c r="G109" s="80">
        <v>0</v>
      </c>
      <c r="H109" s="132"/>
      <c r="I109" s="80">
        <f t="shared" ref="I109:I112" si="1">G109/F109</f>
        <v>0</v>
      </c>
      <c r="J109" s="86" t="s">
        <v>127</v>
      </c>
      <c r="K109" s="82"/>
      <c r="L109" s="82"/>
    </row>
    <row r="110" spans="1:12" ht="27.6" customHeight="1" x14ac:dyDescent="0.35">
      <c r="A110" s="82"/>
      <c r="B110" s="132"/>
      <c r="C110" s="169"/>
      <c r="D110" s="95" t="s">
        <v>95</v>
      </c>
      <c r="E110" s="95" t="s">
        <v>175</v>
      </c>
      <c r="F110" s="80">
        <v>105</v>
      </c>
      <c r="G110" s="80">
        <v>5</v>
      </c>
      <c r="H110" s="132"/>
      <c r="I110" s="80">
        <v>1</v>
      </c>
      <c r="J110" s="86" t="s">
        <v>127</v>
      </c>
      <c r="K110" s="82"/>
      <c r="L110" s="82"/>
    </row>
    <row r="111" spans="1:12" ht="27.6" x14ac:dyDescent="0.35">
      <c r="A111" s="82"/>
      <c r="B111" s="132"/>
      <c r="C111" s="95" t="s">
        <v>176</v>
      </c>
      <c r="D111" s="95" t="s">
        <v>95</v>
      </c>
      <c r="E111" s="95" t="s">
        <v>183</v>
      </c>
      <c r="F111" s="80">
        <v>60</v>
      </c>
      <c r="G111" s="80">
        <v>5</v>
      </c>
      <c r="H111" s="132"/>
      <c r="I111" s="80">
        <v>1</v>
      </c>
      <c r="J111" s="86" t="s">
        <v>127</v>
      </c>
      <c r="K111" s="82"/>
      <c r="L111" s="82"/>
    </row>
    <row r="112" spans="1:12" ht="27.6" x14ac:dyDescent="0.35">
      <c r="A112" s="82"/>
      <c r="B112" s="132"/>
      <c r="C112" s="95" t="s">
        <v>177</v>
      </c>
      <c r="D112" s="95" t="s">
        <v>95</v>
      </c>
      <c r="E112" s="95" t="s">
        <v>184</v>
      </c>
      <c r="F112" s="80">
        <v>95</v>
      </c>
      <c r="G112" s="80">
        <v>0</v>
      </c>
      <c r="H112" s="132"/>
      <c r="I112" s="80">
        <f t="shared" si="1"/>
        <v>0</v>
      </c>
      <c r="J112" s="86" t="s">
        <v>127</v>
      </c>
      <c r="K112" s="82"/>
      <c r="L112" s="82"/>
    </row>
    <row r="113" spans="1:12" ht="27.6" x14ac:dyDescent="0.35">
      <c r="A113" s="82"/>
      <c r="B113" s="132"/>
      <c r="C113" s="95" t="s">
        <v>178</v>
      </c>
      <c r="D113" s="95" t="s">
        <v>95</v>
      </c>
      <c r="E113" s="95" t="s">
        <v>183</v>
      </c>
      <c r="F113" s="80">
        <v>75</v>
      </c>
      <c r="G113" s="80">
        <v>5</v>
      </c>
      <c r="H113" s="132"/>
      <c r="I113" s="80">
        <v>1</v>
      </c>
      <c r="J113" s="86" t="s">
        <v>127</v>
      </c>
      <c r="K113" s="82"/>
      <c r="L113" s="82"/>
    </row>
    <row r="114" spans="1:12" ht="27.6" x14ac:dyDescent="0.35">
      <c r="A114" s="82"/>
      <c r="B114" s="132"/>
      <c r="C114" s="95" t="s">
        <v>179</v>
      </c>
      <c r="D114" s="95" t="s">
        <v>124</v>
      </c>
      <c r="E114" s="95" t="s">
        <v>183</v>
      </c>
      <c r="F114" s="80">
        <v>200</v>
      </c>
      <c r="G114" s="80">
        <v>50</v>
      </c>
      <c r="H114" s="132"/>
      <c r="I114" s="86" t="s">
        <v>127</v>
      </c>
      <c r="J114" s="80">
        <v>1</v>
      </c>
      <c r="K114" s="82"/>
      <c r="L114" s="82"/>
    </row>
    <row r="115" spans="1:12" ht="27.6" x14ac:dyDescent="0.35">
      <c r="A115" s="82"/>
      <c r="B115" s="132"/>
      <c r="C115" s="95" t="s">
        <v>180</v>
      </c>
      <c r="D115" s="95" t="s">
        <v>95</v>
      </c>
      <c r="E115" s="95" t="s">
        <v>185</v>
      </c>
      <c r="F115" s="80">
        <v>24</v>
      </c>
      <c r="G115" s="80">
        <v>10</v>
      </c>
      <c r="H115" s="132"/>
      <c r="I115" s="80">
        <v>1</v>
      </c>
      <c r="J115" s="86" t="s">
        <v>127</v>
      </c>
      <c r="K115" s="82"/>
      <c r="L115" s="82"/>
    </row>
    <row r="116" spans="1:12" ht="55.2" x14ac:dyDescent="0.35">
      <c r="A116" s="82"/>
      <c r="B116" s="133"/>
      <c r="C116" s="95" t="s">
        <v>186</v>
      </c>
      <c r="D116" s="95" t="s">
        <v>95</v>
      </c>
      <c r="E116" s="95" t="s">
        <v>108</v>
      </c>
      <c r="F116" s="80">
        <v>16</v>
      </c>
      <c r="G116" s="80">
        <v>10</v>
      </c>
      <c r="H116" s="133"/>
      <c r="I116" s="80">
        <v>1</v>
      </c>
      <c r="J116" s="86" t="s">
        <v>127</v>
      </c>
      <c r="K116" s="82"/>
      <c r="L116" s="82"/>
    </row>
    <row r="117" spans="1:12" ht="90" customHeight="1" x14ac:dyDescent="0.35">
      <c r="A117" s="82"/>
      <c r="B117" s="145" t="s">
        <v>128</v>
      </c>
      <c r="C117" s="146"/>
      <c r="D117" s="146"/>
      <c r="E117" s="146"/>
      <c r="F117" s="146"/>
      <c r="G117" s="147"/>
      <c r="H117" s="80">
        <v>1</v>
      </c>
      <c r="I117" s="80">
        <v>5</v>
      </c>
      <c r="J117" s="80">
        <v>1</v>
      </c>
      <c r="K117" s="82"/>
      <c r="L117" s="82"/>
    </row>
    <row r="118" spans="1:12" ht="78" customHeight="1" x14ac:dyDescent="0.35">
      <c r="A118" s="82"/>
      <c r="B118" s="162" t="s">
        <v>218</v>
      </c>
      <c r="C118" s="163"/>
      <c r="D118" s="163"/>
      <c r="E118" s="163"/>
      <c r="F118" s="163"/>
      <c r="G118" s="163"/>
      <c r="H118" s="163"/>
      <c r="I118" s="163"/>
      <c r="J118" s="164"/>
      <c r="K118" s="82"/>
      <c r="L118" s="82"/>
    </row>
    <row r="119" spans="1:12" ht="18" customHeight="1" x14ac:dyDescent="0.35">
      <c r="A119" s="82"/>
      <c r="B119" s="128" t="s">
        <v>161</v>
      </c>
      <c r="C119" s="95" t="s">
        <v>181</v>
      </c>
      <c r="D119" s="95" t="s">
        <v>124</v>
      </c>
      <c r="E119" s="95" t="s">
        <v>187</v>
      </c>
      <c r="F119" s="80">
        <v>50</v>
      </c>
      <c r="G119" s="80">
        <f>27+28+50*4</f>
        <v>255</v>
      </c>
      <c r="H119" s="128">
        <v>1</v>
      </c>
      <c r="I119" s="86" t="s">
        <v>127</v>
      </c>
      <c r="J119" s="80">
        <v>6</v>
      </c>
      <c r="K119" s="82"/>
      <c r="L119" s="82"/>
    </row>
    <row r="120" spans="1:12" ht="18" customHeight="1" x14ac:dyDescent="0.35">
      <c r="B120" s="133"/>
      <c r="C120" s="95" t="s">
        <v>182</v>
      </c>
      <c r="D120" s="95" t="s">
        <v>124</v>
      </c>
      <c r="E120" s="95" t="s">
        <v>108</v>
      </c>
      <c r="F120" s="80">
        <v>25</v>
      </c>
      <c r="G120" s="80">
        <v>0</v>
      </c>
      <c r="H120" s="133"/>
      <c r="I120" s="86" t="s">
        <v>127</v>
      </c>
      <c r="J120" s="80">
        <f>G120/F120</f>
        <v>0</v>
      </c>
    </row>
    <row r="121" spans="1:12" ht="18" customHeight="1" x14ac:dyDescent="0.35">
      <c r="B121" s="145" t="s">
        <v>128</v>
      </c>
      <c r="C121" s="146"/>
      <c r="D121" s="146"/>
      <c r="E121" s="146"/>
      <c r="F121" s="146"/>
      <c r="G121" s="147"/>
      <c r="H121" s="80">
        <v>1</v>
      </c>
      <c r="I121" s="80">
        <v>0</v>
      </c>
      <c r="J121" s="80">
        <v>6</v>
      </c>
    </row>
    <row r="122" spans="1:12" ht="18" customHeight="1" x14ac:dyDescent="0.35">
      <c r="B122" s="159" t="s">
        <v>219</v>
      </c>
      <c r="C122" s="160"/>
      <c r="D122" s="160"/>
      <c r="E122" s="160"/>
      <c r="F122" s="160"/>
      <c r="G122" s="160"/>
      <c r="H122" s="160"/>
      <c r="I122" s="160"/>
      <c r="J122" s="161"/>
    </row>
    <row r="123" spans="1:12" ht="18" customHeight="1" x14ac:dyDescent="0.35">
      <c r="B123" s="128" t="s">
        <v>161</v>
      </c>
      <c r="C123" s="167" t="s">
        <v>188</v>
      </c>
      <c r="D123" s="95" t="s">
        <v>95</v>
      </c>
      <c r="E123" s="95" t="s">
        <v>190</v>
      </c>
      <c r="F123" s="80">
        <v>120</v>
      </c>
      <c r="G123" s="80">
        <v>5</v>
      </c>
      <c r="H123" s="128">
        <v>1</v>
      </c>
      <c r="I123" s="80">
        <v>1</v>
      </c>
      <c r="J123" s="84" t="s">
        <v>127</v>
      </c>
    </row>
    <row r="124" spans="1:12" ht="69" customHeight="1" x14ac:dyDescent="0.35">
      <c r="B124" s="132"/>
      <c r="C124" s="169"/>
      <c r="D124" s="95" t="s">
        <v>95</v>
      </c>
      <c r="E124" s="95" t="s">
        <v>192</v>
      </c>
      <c r="F124" s="80">
        <v>220</v>
      </c>
      <c r="G124" s="80">
        <v>5</v>
      </c>
      <c r="H124" s="132"/>
      <c r="I124" s="80">
        <v>1</v>
      </c>
      <c r="J124" s="84" t="s">
        <v>127</v>
      </c>
    </row>
    <row r="125" spans="1:12" ht="18" customHeight="1" x14ac:dyDescent="0.35">
      <c r="B125" s="132"/>
      <c r="C125" s="95" t="s">
        <v>189</v>
      </c>
      <c r="D125" s="95" t="s">
        <v>95</v>
      </c>
      <c r="E125" s="95" t="s">
        <v>184</v>
      </c>
      <c r="F125" s="80">
        <v>310</v>
      </c>
      <c r="G125" s="80">
        <v>0</v>
      </c>
      <c r="H125" s="132"/>
      <c r="I125" s="80">
        <f t="shared" ref="I125:I127" si="2">G125/F125</f>
        <v>0</v>
      </c>
      <c r="J125" s="84" t="s">
        <v>127</v>
      </c>
    </row>
    <row r="126" spans="1:12" ht="55.2" customHeight="1" x14ac:dyDescent="0.35">
      <c r="B126" s="132"/>
      <c r="C126" s="167" t="s">
        <v>195</v>
      </c>
      <c r="D126" s="95" t="s">
        <v>95</v>
      </c>
      <c r="E126" s="95" t="s">
        <v>190</v>
      </c>
      <c r="F126" s="80">
        <v>212</v>
      </c>
      <c r="G126" s="80">
        <v>0</v>
      </c>
      <c r="H126" s="132"/>
      <c r="I126" s="80">
        <f t="shared" si="2"/>
        <v>0</v>
      </c>
      <c r="J126" s="84" t="s">
        <v>127</v>
      </c>
    </row>
    <row r="127" spans="1:12" x14ac:dyDescent="0.35">
      <c r="B127" s="132"/>
      <c r="C127" s="168"/>
      <c r="D127" s="95" t="s">
        <v>95</v>
      </c>
      <c r="E127" s="95" t="s">
        <v>175</v>
      </c>
      <c r="F127" s="80">
        <v>190</v>
      </c>
      <c r="G127" s="80">
        <v>0</v>
      </c>
      <c r="H127" s="132"/>
      <c r="I127" s="80">
        <f t="shared" si="2"/>
        <v>0</v>
      </c>
      <c r="J127" s="84" t="s">
        <v>127</v>
      </c>
    </row>
    <row r="128" spans="1:12" ht="55.2" customHeight="1" x14ac:dyDescent="0.35">
      <c r="B128" s="132"/>
      <c r="C128" s="168"/>
      <c r="D128" s="95" t="s">
        <v>95</v>
      </c>
      <c r="E128" s="95" t="s">
        <v>191</v>
      </c>
      <c r="F128" s="80">
        <v>600</v>
      </c>
      <c r="G128" s="80">
        <v>50</v>
      </c>
      <c r="H128" s="132"/>
      <c r="I128" s="80">
        <v>1</v>
      </c>
      <c r="J128" s="84" t="s">
        <v>127</v>
      </c>
    </row>
    <row r="129" spans="2:10" ht="27.6" x14ac:dyDescent="0.35">
      <c r="B129" s="132"/>
      <c r="C129" s="169"/>
      <c r="D129" s="95" t="s">
        <v>95</v>
      </c>
      <c r="E129" s="95" t="s">
        <v>180</v>
      </c>
      <c r="F129" s="80">
        <v>210</v>
      </c>
      <c r="G129" s="80">
        <v>10</v>
      </c>
      <c r="H129" s="132"/>
      <c r="I129" s="80">
        <v>1</v>
      </c>
      <c r="J129" s="84" t="s">
        <v>127</v>
      </c>
    </row>
    <row r="130" spans="2:10" ht="55.2" x14ac:dyDescent="0.35">
      <c r="B130" s="132"/>
      <c r="C130" s="95" t="s">
        <v>186</v>
      </c>
      <c r="D130" s="95" t="s">
        <v>95</v>
      </c>
      <c r="E130" s="95" t="s">
        <v>108</v>
      </c>
      <c r="F130" s="80">
        <v>50</v>
      </c>
      <c r="G130" s="80">
        <v>10</v>
      </c>
      <c r="H130" s="132"/>
      <c r="I130" s="80">
        <v>1</v>
      </c>
      <c r="J130" s="84" t="s">
        <v>127</v>
      </c>
    </row>
    <row r="131" spans="2:10" ht="27.6" x14ac:dyDescent="0.35">
      <c r="B131" s="132"/>
      <c r="C131" s="95" t="s">
        <v>181</v>
      </c>
      <c r="D131" s="95" t="s">
        <v>95</v>
      </c>
      <c r="E131" s="95" t="s">
        <v>187</v>
      </c>
      <c r="F131" s="80">
        <v>120</v>
      </c>
      <c r="G131" s="80">
        <f>27+28+50*4</f>
        <v>255</v>
      </c>
      <c r="H131" s="132"/>
      <c r="I131" s="80">
        <v>3</v>
      </c>
      <c r="J131" s="84" t="s">
        <v>127</v>
      </c>
    </row>
    <row r="132" spans="2:10" ht="27.6" x14ac:dyDescent="0.35">
      <c r="B132" s="133"/>
      <c r="C132" s="95" t="s">
        <v>182</v>
      </c>
      <c r="D132" s="95" t="s">
        <v>95</v>
      </c>
      <c r="E132" s="95" t="s">
        <v>108</v>
      </c>
      <c r="F132" s="80">
        <v>110</v>
      </c>
      <c r="G132" s="80">
        <v>0</v>
      </c>
      <c r="H132" s="133"/>
      <c r="I132" s="80">
        <f>G132/F132</f>
        <v>0</v>
      </c>
      <c r="J132" s="84" t="s">
        <v>127</v>
      </c>
    </row>
    <row r="133" spans="2:10" ht="90" customHeight="1" x14ac:dyDescent="0.35">
      <c r="B133" s="145" t="s">
        <v>128</v>
      </c>
      <c r="C133" s="146"/>
      <c r="D133" s="146"/>
      <c r="E133" s="146"/>
      <c r="F133" s="146"/>
      <c r="G133" s="147"/>
      <c r="H133" s="80">
        <v>1</v>
      </c>
      <c r="I133" s="80">
        <v>8</v>
      </c>
      <c r="J133" s="80">
        <v>0</v>
      </c>
    </row>
    <row r="134" spans="2:10" ht="72" customHeight="1" x14ac:dyDescent="0.35">
      <c r="B134" s="148" t="s">
        <v>152</v>
      </c>
      <c r="C134" s="149"/>
      <c r="D134" s="149"/>
      <c r="E134" s="149"/>
      <c r="F134" s="149"/>
      <c r="G134" s="150"/>
      <c r="H134" s="80">
        <f>H133+H121+H117+H106+H94+H81+H77+H67+H64+H61+H52+H47+H44+H39+H30+H27+H24+H21+H16+H8</f>
        <v>20</v>
      </c>
      <c r="I134" s="80">
        <f>I133+I121+I117+I106+I94+I81+I77+I67+I64+I61+I52+I47+I44+I39+I30+I27+I24+I21+I16+I8</f>
        <v>108</v>
      </c>
      <c r="J134" s="80">
        <f>J133+J121+J117+J106+J94+J81+J77+J67+J64+J61+J52+J47+J44+J39+J30+J27+J24+J21+J16+J8</f>
        <v>65</v>
      </c>
    </row>
    <row r="135" spans="2:10" ht="18" customHeight="1" x14ac:dyDescent="0.35">
      <c r="B135" s="148" t="s">
        <v>153</v>
      </c>
      <c r="C135" s="149"/>
      <c r="D135" s="149"/>
      <c r="E135" s="149"/>
      <c r="F135" s="149"/>
      <c r="G135" s="150"/>
      <c r="H135" s="80">
        <v>20</v>
      </c>
      <c r="I135" s="80">
        <f>I134*1.12</f>
        <v>120.96000000000001</v>
      </c>
      <c r="J135" s="80">
        <f>J134*1.12</f>
        <v>72.800000000000011</v>
      </c>
    </row>
    <row r="136" spans="2:10" ht="18" customHeight="1" x14ac:dyDescent="0.35">
      <c r="B136" s="148" t="s">
        <v>154</v>
      </c>
      <c r="C136" s="149"/>
      <c r="D136" s="149"/>
      <c r="E136" s="149"/>
      <c r="F136" s="149"/>
      <c r="G136" s="150"/>
      <c r="H136" s="139">
        <f>121+73</f>
        <v>194</v>
      </c>
      <c r="I136" s="140"/>
      <c r="J136" s="141"/>
    </row>
    <row r="137" spans="2:10" ht="18" customHeight="1" x14ac:dyDescent="0.35">
      <c r="B137" s="148" t="s">
        <v>155</v>
      </c>
      <c r="C137" s="149"/>
      <c r="D137" s="149"/>
      <c r="E137" s="149"/>
      <c r="F137" s="149"/>
      <c r="G137" s="150"/>
      <c r="H137" s="139">
        <v>20</v>
      </c>
      <c r="I137" s="140"/>
      <c r="J137" s="141"/>
    </row>
    <row r="138" spans="2:10" ht="18" customHeight="1" x14ac:dyDescent="0.35">
      <c r="B138" s="145" t="s">
        <v>156</v>
      </c>
      <c r="C138" s="146"/>
      <c r="D138" s="146"/>
      <c r="E138" s="146"/>
      <c r="F138" s="146"/>
      <c r="G138" s="147"/>
      <c r="H138" s="80">
        <v>21</v>
      </c>
      <c r="I138" s="80">
        <v>121</v>
      </c>
      <c r="J138" s="80">
        <v>73</v>
      </c>
    </row>
    <row r="141" spans="2:10" x14ac:dyDescent="0.35">
      <c r="B141" s="97"/>
      <c r="C141" s="97"/>
      <c r="D141" s="97"/>
      <c r="E141" s="97"/>
      <c r="F141" s="97"/>
      <c r="G141" s="97"/>
      <c r="H141" s="97"/>
      <c r="I141" s="97"/>
      <c r="J141" s="97"/>
    </row>
  </sheetData>
  <mergeCells count="103">
    <mergeCell ref="H5:H7"/>
    <mergeCell ref="B8:G8"/>
    <mergeCell ref="H2:J2"/>
    <mergeCell ref="B4:J4"/>
    <mergeCell ref="B5:B7"/>
    <mergeCell ref="C5:C7"/>
    <mergeCell ref="B2:B3"/>
    <mergeCell ref="C2:C3"/>
    <mergeCell ref="D2:D3"/>
    <mergeCell ref="E2:E3"/>
    <mergeCell ref="F2:F3"/>
    <mergeCell ref="G2:G3"/>
    <mergeCell ref="B18:B20"/>
    <mergeCell ref="B22:J22"/>
    <mergeCell ref="B24:G24"/>
    <mergeCell ref="B25:J25"/>
    <mergeCell ref="H108:H116"/>
    <mergeCell ref="C108:C110"/>
    <mergeCell ref="B108:B116"/>
    <mergeCell ref="B9:J9"/>
    <mergeCell ref="B21:G21"/>
    <mergeCell ref="B27:G27"/>
    <mergeCell ref="B28:J28"/>
    <mergeCell ref="B30:G30"/>
    <mergeCell ref="B31:J31"/>
    <mergeCell ref="C32:C33"/>
    <mergeCell ref="B32:B38"/>
    <mergeCell ref="C35:C38"/>
    <mergeCell ref="B138:G138"/>
    <mergeCell ref="H10:H15"/>
    <mergeCell ref="B10:B15"/>
    <mergeCell ref="B16:G16"/>
    <mergeCell ref="B17:J17"/>
    <mergeCell ref="H18:H20"/>
    <mergeCell ref="B135:G135"/>
    <mergeCell ref="B136:G136"/>
    <mergeCell ref="B137:G137"/>
    <mergeCell ref="H123:H132"/>
    <mergeCell ref="C126:C129"/>
    <mergeCell ref="B123:B132"/>
    <mergeCell ref="C123:C124"/>
    <mergeCell ref="C83:C85"/>
    <mergeCell ref="B94:G94"/>
    <mergeCell ref="H83:H93"/>
    <mergeCell ref="B83:B93"/>
    <mergeCell ref="B48:J48"/>
    <mergeCell ref="B49:B51"/>
    <mergeCell ref="C49:C51"/>
    <mergeCell ref="H49:H51"/>
    <mergeCell ref="B39:G39"/>
    <mergeCell ref="H32:H38"/>
    <mergeCell ref="B40:J40"/>
    <mergeCell ref="B41:B43"/>
    <mergeCell ref="H41:H43"/>
    <mergeCell ref="B44:G44"/>
    <mergeCell ref="H137:J137"/>
    <mergeCell ref="H136:J136"/>
    <mergeCell ref="L2:L3"/>
    <mergeCell ref="L26:N26"/>
    <mergeCell ref="L27:N27"/>
    <mergeCell ref="B122:J122"/>
    <mergeCell ref="B121:G121"/>
    <mergeCell ref="B119:B120"/>
    <mergeCell ref="H119:H120"/>
    <mergeCell ref="B118:J118"/>
    <mergeCell ref="B117:G117"/>
    <mergeCell ref="B82:J82"/>
    <mergeCell ref="B81:G81"/>
    <mergeCell ref="B79:B80"/>
    <mergeCell ref="B107:J107"/>
    <mergeCell ref="B106:G106"/>
    <mergeCell ref="H96:H105"/>
    <mergeCell ref="B96:B105"/>
    <mergeCell ref="C99:C102"/>
    <mergeCell ref="C96:C97"/>
    <mergeCell ref="B95:J95"/>
    <mergeCell ref="B68:J68"/>
    <mergeCell ref="B67:G67"/>
    <mergeCell ref="B65:J65"/>
    <mergeCell ref="M2:N3"/>
    <mergeCell ref="O2:Q2"/>
    <mergeCell ref="L16:N16"/>
    <mergeCell ref="L17:N17"/>
    <mergeCell ref="N18:N20"/>
    <mergeCell ref="N4:N15"/>
    <mergeCell ref="B134:G134"/>
    <mergeCell ref="B133:G133"/>
    <mergeCell ref="H79:H80"/>
    <mergeCell ref="B64:G64"/>
    <mergeCell ref="B78:J78"/>
    <mergeCell ref="B77:G77"/>
    <mergeCell ref="H69:H76"/>
    <mergeCell ref="C72:C75"/>
    <mergeCell ref="C69:C70"/>
    <mergeCell ref="B69:B76"/>
    <mergeCell ref="B53:J53"/>
    <mergeCell ref="B52:G52"/>
    <mergeCell ref="B62:J62"/>
    <mergeCell ref="B61:G61"/>
    <mergeCell ref="H54:H60"/>
    <mergeCell ref="B54:B60"/>
    <mergeCell ref="B45:J45"/>
    <mergeCell ref="B47:G47"/>
  </mergeCells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7"/>
  <sheetViews>
    <sheetView topLeftCell="A9" workbookViewId="0">
      <selection activeCell="G16" sqref="G16"/>
    </sheetView>
  </sheetViews>
  <sheetFormatPr defaultRowHeight="18" x14ac:dyDescent="0.35"/>
  <sheetData>
    <row r="2" spans="2:10" x14ac:dyDescent="0.35">
      <c r="B2" s="116" t="s">
        <v>121</v>
      </c>
      <c r="C2" s="116" t="s">
        <v>122</v>
      </c>
      <c r="D2" s="116" t="s">
        <v>91</v>
      </c>
      <c r="E2" s="116" t="s">
        <v>26</v>
      </c>
      <c r="F2" s="116" t="s">
        <v>123</v>
      </c>
      <c r="G2" s="116" t="s">
        <v>27</v>
      </c>
      <c r="H2" s="116" t="s">
        <v>93</v>
      </c>
      <c r="I2" s="116"/>
      <c r="J2" s="116"/>
    </row>
    <row r="3" spans="2:10" x14ac:dyDescent="0.35">
      <c r="B3" s="116"/>
      <c r="C3" s="116"/>
      <c r="D3" s="116"/>
      <c r="E3" s="116"/>
      <c r="F3" s="116"/>
      <c r="G3" s="116"/>
      <c r="H3" s="93" t="s">
        <v>94</v>
      </c>
      <c r="I3" s="93" t="s">
        <v>95</v>
      </c>
      <c r="J3" s="93" t="s">
        <v>124</v>
      </c>
    </row>
    <row r="4" spans="2:10" x14ac:dyDescent="0.35">
      <c r="B4" s="171" t="s">
        <v>196</v>
      </c>
      <c r="C4" s="171"/>
      <c r="D4" s="171"/>
      <c r="E4" s="171"/>
      <c r="F4" s="171"/>
      <c r="G4" s="171"/>
      <c r="H4" s="171"/>
      <c r="I4" s="171"/>
      <c r="J4" s="171"/>
    </row>
    <row r="5" spans="2:10" ht="41.4" x14ac:dyDescent="0.35">
      <c r="B5" s="170" t="s">
        <v>146</v>
      </c>
      <c r="C5" s="170" t="s">
        <v>188</v>
      </c>
      <c r="D5" s="95" t="s">
        <v>95</v>
      </c>
      <c r="E5" s="95" t="s">
        <v>194</v>
      </c>
      <c r="F5" s="95">
        <v>60</v>
      </c>
      <c r="G5" s="95">
        <v>450</v>
      </c>
      <c r="H5" s="172"/>
      <c r="I5" s="95">
        <v>8</v>
      </c>
      <c r="J5" s="86" t="s">
        <v>127</v>
      </c>
    </row>
    <row r="6" spans="2:10" ht="27.6" x14ac:dyDescent="0.35">
      <c r="B6" s="170"/>
      <c r="C6" s="170"/>
      <c r="D6" s="95" t="s">
        <v>95</v>
      </c>
      <c r="E6" s="95" t="s">
        <v>193</v>
      </c>
      <c r="F6" s="95">
        <v>105</v>
      </c>
      <c r="G6" s="95">
        <f>5+2*15</f>
        <v>35</v>
      </c>
      <c r="H6" s="172"/>
      <c r="I6" s="95">
        <v>1</v>
      </c>
      <c r="J6" s="86" t="s">
        <v>127</v>
      </c>
    </row>
    <row r="7" spans="2:10" ht="27.6" x14ac:dyDescent="0.35">
      <c r="B7" s="170"/>
      <c r="C7" s="170"/>
      <c r="D7" s="95" t="s">
        <v>95</v>
      </c>
      <c r="E7" s="95" t="s">
        <v>175</v>
      </c>
      <c r="F7" s="95">
        <v>45</v>
      </c>
      <c r="G7" s="95">
        <f>95+15</f>
        <v>110</v>
      </c>
      <c r="H7" s="172"/>
      <c r="I7" s="95">
        <v>3</v>
      </c>
      <c r="J7" s="86" t="s">
        <v>127</v>
      </c>
    </row>
    <row r="8" spans="2:10" x14ac:dyDescent="0.35">
      <c r="B8" s="129" t="s">
        <v>275</v>
      </c>
      <c r="C8" s="130"/>
      <c r="D8" s="130"/>
      <c r="E8" s="130"/>
      <c r="F8" s="130"/>
      <c r="G8" s="130"/>
      <c r="H8" s="130"/>
      <c r="I8" s="130"/>
      <c r="J8" s="131"/>
    </row>
    <row r="9" spans="2:10" ht="55.2" x14ac:dyDescent="0.35">
      <c r="B9" s="118" t="s">
        <v>146</v>
      </c>
      <c r="C9" s="95" t="s">
        <v>176</v>
      </c>
      <c r="D9" s="95" t="s">
        <v>95</v>
      </c>
      <c r="E9" s="95" t="s">
        <v>183</v>
      </c>
      <c r="F9" s="94">
        <v>60</v>
      </c>
      <c r="G9" s="94"/>
      <c r="H9" s="94"/>
      <c r="I9" s="94">
        <f>G9/F9</f>
        <v>0</v>
      </c>
      <c r="J9" s="94" t="s">
        <v>127</v>
      </c>
    </row>
    <row r="10" spans="2:10" ht="41.4" x14ac:dyDescent="0.35">
      <c r="B10" s="118"/>
      <c r="C10" s="95" t="s">
        <v>177</v>
      </c>
      <c r="D10" s="95" t="s">
        <v>95</v>
      </c>
      <c r="E10" s="95" t="s">
        <v>184</v>
      </c>
      <c r="F10" s="94">
        <v>80</v>
      </c>
      <c r="G10" s="94">
        <f>2+15</f>
        <v>17</v>
      </c>
      <c r="H10" s="94"/>
      <c r="I10" s="94">
        <f t="shared" ref="I10:I16" si="0">G10/F10</f>
        <v>0.21249999999999999</v>
      </c>
      <c r="J10" s="94" t="s">
        <v>127</v>
      </c>
    </row>
    <row r="11" spans="2:10" ht="55.2" x14ac:dyDescent="0.35">
      <c r="B11" s="118"/>
      <c r="C11" s="95" t="s">
        <v>178</v>
      </c>
      <c r="D11" s="95" t="s">
        <v>95</v>
      </c>
      <c r="E11" s="95" t="s">
        <v>183</v>
      </c>
      <c r="F11" s="94">
        <v>75</v>
      </c>
      <c r="G11" s="94">
        <f>95+15</f>
        <v>110</v>
      </c>
      <c r="H11" s="94"/>
      <c r="I11" s="94">
        <f t="shared" si="0"/>
        <v>1.4666666666666666</v>
      </c>
      <c r="J11" s="94" t="s">
        <v>127</v>
      </c>
    </row>
    <row r="12" spans="2:10" ht="41.4" x14ac:dyDescent="0.35">
      <c r="B12" s="118"/>
      <c r="C12" s="95" t="s">
        <v>179</v>
      </c>
      <c r="D12" s="95" t="s">
        <v>124</v>
      </c>
      <c r="E12" s="95" t="s">
        <v>183</v>
      </c>
      <c r="F12" s="94">
        <v>200</v>
      </c>
      <c r="G12" s="94">
        <f>40+40+10*14</f>
        <v>220</v>
      </c>
      <c r="H12" s="94"/>
      <c r="I12" s="94" t="s">
        <v>127</v>
      </c>
      <c r="J12" s="94">
        <f>G12/F12</f>
        <v>1.1000000000000001</v>
      </c>
    </row>
    <row r="13" spans="2:10" ht="41.4" x14ac:dyDescent="0.35">
      <c r="B13" s="118"/>
      <c r="C13" s="95" t="s">
        <v>180</v>
      </c>
      <c r="D13" s="95" t="s">
        <v>95</v>
      </c>
      <c r="E13" s="95" t="s">
        <v>185</v>
      </c>
      <c r="F13" s="94">
        <v>20</v>
      </c>
      <c r="G13" s="94">
        <f>2+2+2*14</f>
        <v>32</v>
      </c>
      <c r="H13" s="94"/>
      <c r="I13" s="94">
        <f>G13/F13</f>
        <v>1.6</v>
      </c>
      <c r="J13" s="94" t="s">
        <v>127</v>
      </c>
    </row>
    <row r="14" spans="2:10" ht="82.8" x14ac:dyDescent="0.35">
      <c r="B14" s="118"/>
      <c r="C14" s="95" t="s">
        <v>186</v>
      </c>
      <c r="D14" s="95" t="s">
        <v>95</v>
      </c>
      <c r="E14" s="95" t="s">
        <v>108</v>
      </c>
      <c r="F14" s="94">
        <v>15</v>
      </c>
      <c r="G14" s="94">
        <f>2*16</f>
        <v>32</v>
      </c>
      <c r="H14" s="94"/>
      <c r="I14" s="94">
        <f t="shared" si="0"/>
        <v>2.1333333333333333</v>
      </c>
      <c r="J14" s="94" t="s">
        <v>127</v>
      </c>
    </row>
    <row r="15" spans="2:10" ht="55.2" x14ac:dyDescent="0.35">
      <c r="B15" s="118"/>
      <c r="C15" s="95" t="s">
        <v>181</v>
      </c>
      <c r="D15" s="95" t="s">
        <v>124</v>
      </c>
      <c r="E15" s="95" t="s">
        <v>187</v>
      </c>
      <c r="F15" s="94">
        <v>50</v>
      </c>
      <c r="G15" s="94">
        <f>66+66+(50*14)+93+81+(32*14)</f>
        <v>1454</v>
      </c>
      <c r="H15" s="94"/>
      <c r="I15" s="94" t="s">
        <v>127</v>
      </c>
      <c r="J15" s="94">
        <f>G15/F15</f>
        <v>29.08</v>
      </c>
    </row>
    <row r="16" spans="2:10" ht="41.4" x14ac:dyDescent="0.35">
      <c r="B16" s="118"/>
      <c r="C16" s="95" t="s">
        <v>182</v>
      </c>
      <c r="D16" s="95" t="s">
        <v>124</v>
      </c>
      <c r="E16" s="95" t="s">
        <v>108</v>
      </c>
      <c r="F16" s="94">
        <v>25</v>
      </c>
      <c r="G16" s="94">
        <v>53</v>
      </c>
      <c r="H16" s="94"/>
      <c r="I16" s="94" t="s">
        <v>127</v>
      </c>
      <c r="J16" s="94">
        <f>G16/F16</f>
        <v>2.12</v>
      </c>
    </row>
    <row r="17" spans="2:10" ht="18" customHeight="1" x14ac:dyDescent="0.35">
      <c r="B17" s="159" t="s">
        <v>211</v>
      </c>
      <c r="C17" s="160"/>
      <c r="D17" s="160"/>
      <c r="E17" s="160"/>
      <c r="F17" s="160"/>
      <c r="G17" s="160"/>
      <c r="H17" s="160"/>
      <c r="I17" s="160"/>
      <c r="J17" s="161"/>
    </row>
    <row r="18" spans="2:10" ht="41.4" customHeight="1" x14ac:dyDescent="0.35">
      <c r="B18" s="118" t="s">
        <v>146</v>
      </c>
      <c r="C18" s="170" t="s">
        <v>188</v>
      </c>
      <c r="D18" s="95" t="s">
        <v>95</v>
      </c>
      <c r="E18" s="95" t="s">
        <v>190</v>
      </c>
      <c r="F18" s="94">
        <v>120</v>
      </c>
      <c r="G18" s="94"/>
      <c r="H18" s="94"/>
      <c r="I18" s="94">
        <f>G18/F18</f>
        <v>0</v>
      </c>
      <c r="J18" s="94" t="s">
        <v>127</v>
      </c>
    </row>
    <row r="19" spans="2:10" ht="27.6" customHeight="1" x14ac:dyDescent="0.35">
      <c r="B19" s="118"/>
      <c r="C19" s="170"/>
      <c r="D19" s="95" t="s">
        <v>95</v>
      </c>
      <c r="E19" s="95" t="s">
        <v>192</v>
      </c>
      <c r="F19" s="94">
        <v>220</v>
      </c>
      <c r="G19" s="94"/>
      <c r="H19" s="94"/>
      <c r="I19" s="94">
        <f t="shared" ref="I19:I27" si="1">G19/F19</f>
        <v>0</v>
      </c>
      <c r="J19" s="94" t="s">
        <v>127</v>
      </c>
    </row>
    <row r="20" spans="2:10" ht="69" x14ac:dyDescent="0.35">
      <c r="B20" s="118"/>
      <c r="C20" s="95" t="s">
        <v>189</v>
      </c>
      <c r="D20" s="95" t="s">
        <v>95</v>
      </c>
      <c r="E20" s="95" t="s">
        <v>184</v>
      </c>
      <c r="F20" s="94">
        <v>290</v>
      </c>
      <c r="G20" s="94"/>
      <c r="H20" s="94"/>
      <c r="I20" s="94">
        <f t="shared" si="1"/>
        <v>0</v>
      </c>
      <c r="J20" s="94" t="s">
        <v>127</v>
      </c>
    </row>
    <row r="21" spans="2:10" ht="82.8" customHeight="1" x14ac:dyDescent="0.35">
      <c r="B21" s="118"/>
      <c r="C21" s="170" t="s">
        <v>195</v>
      </c>
      <c r="D21" s="95" t="s">
        <v>95</v>
      </c>
      <c r="E21" s="95" t="s">
        <v>190</v>
      </c>
      <c r="F21" s="94">
        <v>200</v>
      </c>
      <c r="G21" s="94"/>
      <c r="H21" s="94"/>
      <c r="I21" s="94">
        <f t="shared" si="1"/>
        <v>0</v>
      </c>
      <c r="J21" s="94" t="s">
        <v>127</v>
      </c>
    </row>
    <row r="22" spans="2:10" ht="27.6" customHeight="1" x14ac:dyDescent="0.35">
      <c r="B22" s="118"/>
      <c r="C22" s="170"/>
      <c r="D22" s="95" t="s">
        <v>95</v>
      </c>
      <c r="E22" s="95" t="s">
        <v>175</v>
      </c>
      <c r="F22" s="94">
        <v>180</v>
      </c>
      <c r="G22" s="94"/>
      <c r="H22" s="94"/>
      <c r="I22" s="94">
        <f t="shared" si="1"/>
        <v>0</v>
      </c>
      <c r="J22" s="94" t="s">
        <v>127</v>
      </c>
    </row>
    <row r="23" spans="2:10" ht="27.6" x14ac:dyDescent="0.35">
      <c r="B23" s="118"/>
      <c r="C23" s="170"/>
      <c r="D23" s="95" t="s">
        <v>95</v>
      </c>
      <c r="E23" s="95" t="s">
        <v>191</v>
      </c>
      <c r="F23" s="94">
        <v>600</v>
      </c>
      <c r="G23" s="94"/>
      <c r="H23" s="94"/>
      <c r="I23" s="94">
        <f t="shared" si="1"/>
        <v>0</v>
      </c>
      <c r="J23" s="94" t="s">
        <v>127</v>
      </c>
    </row>
    <row r="24" spans="2:10" ht="41.4" x14ac:dyDescent="0.35">
      <c r="B24" s="118"/>
      <c r="C24" s="170"/>
      <c r="D24" s="95" t="s">
        <v>95</v>
      </c>
      <c r="E24" s="95" t="s">
        <v>180</v>
      </c>
      <c r="F24" s="94">
        <v>195</v>
      </c>
      <c r="G24" s="94"/>
      <c r="H24" s="94"/>
      <c r="I24" s="94">
        <f t="shared" si="1"/>
        <v>0</v>
      </c>
      <c r="J24" s="94" t="s">
        <v>127</v>
      </c>
    </row>
    <row r="25" spans="2:10" ht="82.8" x14ac:dyDescent="0.35">
      <c r="B25" s="118"/>
      <c r="C25" s="95" t="s">
        <v>186</v>
      </c>
      <c r="D25" s="95" t="s">
        <v>95</v>
      </c>
      <c r="E25" s="95" t="s">
        <v>108</v>
      </c>
      <c r="F25" s="94">
        <v>35</v>
      </c>
      <c r="G25" s="94"/>
      <c r="H25" s="94"/>
      <c r="I25" s="94">
        <f t="shared" si="1"/>
        <v>0</v>
      </c>
      <c r="J25" s="94" t="s">
        <v>127</v>
      </c>
    </row>
    <row r="26" spans="2:10" ht="55.2" x14ac:dyDescent="0.35">
      <c r="B26" s="118"/>
      <c r="C26" s="95" t="s">
        <v>181</v>
      </c>
      <c r="D26" s="95" t="s">
        <v>95</v>
      </c>
      <c r="E26" s="95" t="s">
        <v>187</v>
      </c>
      <c r="F26" s="94">
        <v>95</v>
      </c>
      <c r="G26" s="94"/>
      <c r="H26" s="94"/>
      <c r="I26" s="94">
        <f t="shared" si="1"/>
        <v>0</v>
      </c>
      <c r="J26" s="94" t="s">
        <v>127</v>
      </c>
    </row>
    <row r="27" spans="2:10" ht="41.4" x14ac:dyDescent="0.35">
      <c r="B27" s="118"/>
      <c r="C27" s="95" t="s">
        <v>182</v>
      </c>
      <c r="D27" s="95" t="s">
        <v>95</v>
      </c>
      <c r="E27" s="95" t="s">
        <v>108</v>
      </c>
      <c r="F27" s="94">
        <v>100</v>
      </c>
      <c r="G27" s="94"/>
      <c r="H27" s="94"/>
      <c r="I27" s="94">
        <f t="shared" si="1"/>
        <v>0</v>
      </c>
      <c r="J27" s="94" t="s">
        <v>127</v>
      </c>
    </row>
  </sheetData>
  <mergeCells count="16">
    <mergeCell ref="B8:J8"/>
    <mergeCell ref="B17:J17"/>
    <mergeCell ref="C18:C19"/>
    <mergeCell ref="C21:C24"/>
    <mergeCell ref="B9:B16"/>
    <mergeCell ref="B18:B27"/>
    <mergeCell ref="H2:J2"/>
    <mergeCell ref="B4:J4"/>
    <mergeCell ref="B5:B7"/>
    <mergeCell ref="C5:C7"/>
    <mergeCell ref="B2:B3"/>
    <mergeCell ref="C2:C3"/>
    <mergeCell ref="D2:D3"/>
    <mergeCell ref="E2:E3"/>
    <mergeCell ref="F2:F3"/>
    <mergeCell ref="G2:G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39"/>
  <sheetViews>
    <sheetView workbookViewId="0">
      <selection activeCell="E1" sqref="E1:E1048576"/>
    </sheetView>
  </sheetViews>
  <sheetFormatPr defaultRowHeight="18" x14ac:dyDescent="0.35"/>
  <cols>
    <col min="2" max="2" width="25.6328125" customWidth="1"/>
    <col min="3" max="4" width="14.6328125" customWidth="1"/>
    <col min="5" max="5" width="8.6328125" customWidth="1"/>
    <col min="6" max="6" width="14.6328125" customWidth="1"/>
    <col min="8" max="8" width="25.6328125" customWidth="1"/>
    <col min="9" max="10" width="14.6328125" customWidth="1"/>
    <col min="11" max="11" width="8.6328125" customWidth="1"/>
    <col min="12" max="12" width="14.6328125" customWidth="1"/>
    <col min="14" max="14" width="25.6328125" customWidth="1"/>
    <col min="15" max="16" width="14.6328125" customWidth="1"/>
    <col min="17" max="17" width="8.6328125" customWidth="1"/>
    <col min="18" max="18" width="14.6328125" customWidth="1"/>
  </cols>
  <sheetData>
    <row r="1" spans="2:18" x14ac:dyDescent="0.35">
      <c r="B1" t="s">
        <v>248</v>
      </c>
      <c r="H1" t="s">
        <v>249</v>
      </c>
      <c r="N1" t="s">
        <v>250</v>
      </c>
    </row>
    <row r="2" spans="2:18" ht="18" customHeight="1" x14ac:dyDescent="0.35">
      <c r="B2" s="118" t="s">
        <v>222</v>
      </c>
      <c r="C2" s="118"/>
      <c r="D2" s="118"/>
      <c r="E2" s="118"/>
      <c r="F2" s="118"/>
      <c r="G2" s="83"/>
      <c r="H2" s="118" t="s">
        <v>222</v>
      </c>
      <c r="I2" s="118"/>
      <c r="J2" s="118"/>
      <c r="K2" s="118"/>
      <c r="L2" s="118"/>
      <c r="N2" s="118" t="s">
        <v>222</v>
      </c>
      <c r="O2" s="118"/>
      <c r="P2" s="118"/>
      <c r="Q2" s="118"/>
      <c r="R2" s="118"/>
    </row>
    <row r="3" spans="2:18" ht="49.95" customHeight="1" x14ac:dyDescent="0.35">
      <c r="B3" s="94" t="s">
        <v>223</v>
      </c>
      <c r="C3" s="94" t="s">
        <v>26</v>
      </c>
      <c r="D3" s="93" t="s">
        <v>123</v>
      </c>
      <c r="E3" s="94" t="s">
        <v>27</v>
      </c>
      <c r="F3" s="93" t="s">
        <v>93</v>
      </c>
      <c r="G3" s="83"/>
      <c r="H3" s="94" t="s">
        <v>223</v>
      </c>
      <c r="I3" s="94" t="s">
        <v>26</v>
      </c>
      <c r="J3" s="93" t="s">
        <v>123</v>
      </c>
      <c r="K3" s="94" t="s">
        <v>27</v>
      </c>
      <c r="L3" s="93" t="s">
        <v>93</v>
      </c>
      <c r="N3" s="94" t="s">
        <v>223</v>
      </c>
      <c r="O3" s="94" t="s">
        <v>26</v>
      </c>
      <c r="P3" s="93" t="s">
        <v>123</v>
      </c>
      <c r="Q3" s="94" t="s">
        <v>27</v>
      </c>
      <c r="R3" s="93" t="s">
        <v>93</v>
      </c>
    </row>
    <row r="4" spans="2:18" ht="70.05" customHeight="1" x14ac:dyDescent="0.35">
      <c r="B4" s="93" t="s">
        <v>224</v>
      </c>
      <c r="C4" s="94" t="s">
        <v>236</v>
      </c>
      <c r="D4" s="94">
        <v>1210</v>
      </c>
      <c r="E4" s="94"/>
      <c r="F4" s="94">
        <f>E4/D4</f>
        <v>0</v>
      </c>
      <c r="H4" s="93" t="s">
        <v>224</v>
      </c>
      <c r="I4" s="94" t="s">
        <v>236</v>
      </c>
      <c r="J4" s="94">
        <v>1210</v>
      </c>
      <c r="K4" s="94"/>
      <c r="L4" s="94">
        <f>K4/J4</f>
        <v>0</v>
      </c>
      <c r="N4" s="93" t="s">
        <v>224</v>
      </c>
      <c r="O4" s="94" t="s">
        <v>236</v>
      </c>
      <c r="P4" s="94">
        <v>1210</v>
      </c>
      <c r="Q4" s="94"/>
      <c r="R4" s="94">
        <f>Q4/P4</f>
        <v>0</v>
      </c>
    </row>
    <row r="5" spans="2:18" ht="78" customHeight="1" x14ac:dyDescent="0.35">
      <c r="B5" s="93" t="s">
        <v>225</v>
      </c>
      <c r="C5" s="94" t="s">
        <v>236</v>
      </c>
      <c r="D5" s="94">
        <v>770</v>
      </c>
      <c r="E5" s="94"/>
      <c r="F5" s="94">
        <f>E5/D5</f>
        <v>0</v>
      </c>
      <c r="H5" s="93" t="s">
        <v>225</v>
      </c>
      <c r="I5" s="94" t="s">
        <v>236</v>
      </c>
      <c r="J5" s="94">
        <v>770</v>
      </c>
      <c r="K5" s="94"/>
      <c r="L5" s="94">
        <f>K5/J5</f>
        <v>0</v>
      </c>
      <c r="N5" s="93" t="s">
        <v>225</v>
      </c>
      <c r="O5" s="94" t="s">
        <v>236</v>
      </c>
      <c r="P5" s="94">
        <v>770</v>
      </c>
      <c r="Q5" s="94"/>
      <c r="R5" s="94">
        <f>Q5/P5</f>
        <v>0</v>
      </c>
    </row>
    <row r="6" spans="2:18" ht="18" customHeight="1" x14ac:dyDescent="0.35">
      <c r="B6" s="118" t="s">
        <v>226</v>
      </c>
      <c r="C6" s="118"/>
      <c r="D6" s="118"/>
      <c r="E6" s="118"/>
      <c r="F6" s="94"/>
      <c r="H6" s="118" t="s">
        <v>226</v>
      </c>
      <c r="I6" s="118"/>
      <c r="J6" s="118"/>
      <c r="K6" s="118"/>
      <c r="L6" s="94"/>
      <c r="N6" s="118" t="s">
        <v>226</v>
      </c>
      <c r="O6" s="118"/>
      <c r="P6" s="118"/>
      <c r="Q6" s="118"/>
      <c r="R6" s="94"/>
    </row>
    <row r="7" spans="2:18" ht="18" customHeight="1" x14ac:dyDescent="0.35">
      <c r="B7" s="118" t="s">
        <v>227</v>
      </c>
      <c r="C7" s="118"/>
      <c r="D7" s="118"/>
      <c r="E7" s="118"/>
      <c r="F7" s="94"/>
      <c r="H7" s="118" t="s">
        <v>227</v>
      </c>
      <c r="I7" s="118"/>
      <c r="J7" s="118"/>
      <c r="K7" s="118"/>
      <c r="L7" s="94"/>
      <c r="N7" s="118" t="s">
        <v>227</v>
      </c>
      <c r="O7" s="118"/>
      <c r="P7" s="118"/>
      <c r="Q7" s="118"/>
      <c r="R7" s="94"/>
    </row>
    <row r="8" spans="2:18" ht="18" customHeight="1" x14ac:dyDescent="0.35">
      <c r="B8" s="118" t="s">
        <v>94</v>
      </c>
      <c r="C8" s="118"/>
      <c r="D8" s="118"/>
      <c r="E8" s="118"/>
      <c r="F8" s="94"/>
      <c r="H8" s="118" t="s">
        <v>94</v>
      </c>
      <c r="I8" s="118"/>
      <c r="J8" s="118"/>
      <c r="K8" s="118"/>
      <c r="L8" s="94"/>
      <c r="N8" s="118" t="s">
        <v>94</v>
      </c>
      <c r="O8" s="118"/>
      <c r="P8" s="118"/>
      <c r="Q8" s="118"/>
      <c r="R8" s="94"/>
    </row>
    <row r="9" spans="2:18" ht="18" customHeight="1" x14ac:dyDescent="0.35">
      <c r="B9" s="118" t="s">
        <v>228</v>
      </c>
      <c r="C9" s="118"/>
      <c r="D9" s="118"/>
      <c r="E9" s="118"/>
      <c r="F9" s="94"/>
      <c r="H9" s="118" t="s">
        <v>228</v>
      </c>
      <c r="I9" s="118"/>
      <c r="J9" s="118"/>
      <c r="K9" s="118"/>
      <c r="L9" s="94"/>
      <c r="N9" s="118" t="s">
        <v>228</v>
      </c>
      <c r="O9" s="118"/>
      <c r="P9" s="118"/>
      <c r="Q9" s="118"/>
      <c r="R9" s="94"/>
    </row>
    <row r="10" spans="2:18" x14ac:dyDescent="0.35">
      <c r="B10" s="6"/>
      <c r="C10" s="6"/>
      <c r="D10" s="6"/>
      <c r="E10" s="6"/>
      <c r="F10" s="6"/>
      <c r="H10" s="6"/>
      <c r="I10" s="6"/>
      <c r="J10" s="6"/>
      <c r="K10" s="6"/>
      <c r="L10" s="6"/>
      <c r="N10" s="6"/>
      <c r="O10" s="6"/>
      <c r="P10" s="6"/>
      <c r="Q10" s="6"/>
      <c r="R10" s="6"/>
    </row>
    <row r="11" spans="2:18" ht="53.4" customHeight="1" x14ac:dyDescent="0.35">
      <c r="B11" s="116" t="s">
        <v>229</v>
      </c>
      <c r="C11" s="116"/>
      <c r="D11" s="116"/>
      <c r="E11" s="116"/>
      <c r="F11" s="116"/>
      <c r="G11" s="83"/>
      <c r="H11" s="116" t="s">
        <v>229</v>
      </c>
      <c r="I11" s="116"/>
      <c r="J11" s="116"/>
      <c r="K11" s="116"/>
      <c r="L11" s="116"/>
      <c r="N11" s="116" t="s">
        <v>229</v>
      </c>
      <c r="O11" s="116"/>
      <c r="P11" s="116"/>
      <c r="Q11" s="116"/>
      <c r="R11" s="116"/>
    </row>
    <row r="12" spans="2:18" ht="49.95" customHeight="1" x14ac:dyDescent="0.35">
      <c r="B12" s="94" t="s">
        <v>223</v>
      </c>
      <c r="C12" s="94" t="s">
        <v>26</v>
      </c>
      <c r="D12" s="93" t="s">
        <v>123</v>
      </c>
      <c r="E12" s="94" t="s">
        <v>27</v>
      </c>
      <c r="F12" s="93" t="s">
        <v>93</v>
      </c>
      <c r="G12" s="83"/>
      <c r="H12" s="94" t="s">
        <v>223</v>
      </c>
      <c r="I12" s="94" t="s">
        <v>26</v>
      </c>
      <c r="J12" s="93" t="s">
        <v>123</v>
      </c>
      <c r="K12" s="94" t="s">
        <v>27</v>
      </c>
      <c r="L12" s="93" t="s">
        <v>93</v>
      </c>
      <c r="N12" s="94" t="s">
        <v>223</v>
      </c>
      <c r="O12" s="94" t="s">
        <v>26</v>
      </c>
      <c r="P12" s="93" t="s">
        <v>123</v>
      </c>
      <c r="Q12" s="94" t="s">
        <v>27</v>
      </c>
      <c r="R12" s="93" t="s">
        <v>93</v>
      </c>
    </row>
    <row r="13" spans="2:18" ht="70.05" customHeight="1" x14ac:dyDescent="0.35">
      <c r="B13" s="93" t="s">
        <v>230</v>
      </c>
      <c r="C13" s="94" t="s">
        <v>237</v>
      </c>
      <c r="D13" s="94">
        <v>30000</v>
      </c>
      <c r="E13" s="94"/>
      <c r="F13" s="94">
        <f>E13/D13</f>
        <v>0</v>
      </c>
      <c r="H13" s="93" t="s">
        <v>230</v>
      </c>
      <c r="I13" s="94" t="s">
        <v>237</v>
      </c>
      <c r="J13" s="94">
        <v>30000</v>
      </c>
      <c r="K13" s="94"/>
      <c r="L13" s="94">
        <f>K13/J13</f>
        <v>0</v>
      </c>
      <c r="N13" s="93" t="s">
        <v>230</v>
      </c>
      <c r="O13" s="94" t="s">
        <v>237</v>
      </c>
      <c r="P13" s="94">
        <v>30000</v>
      </c>
      <c r="Q13" s="94"/>
      <c r="R13" s="94">
        <f>Q13/P13</f>
        <v>0</v>
      </c>
    </row>
    <row r="14" spans="2:18" ht="70.05" customHeight="1" x14ac:dyDescent="0.35">
      <c r="B14" s="93" t="s">
        <v>233</v>
      </c>
      <c r="C14" s="94" t="s">
        <v>238</v>
      </c>
      <c r="D14" s="94">
        <v>60000</v>
      </c>
      <c r="E14" s="94"/>
      <c r="F14" s="94">
        <f t="shared" ref="F14:F18" si="0">E14/D14</f>
        <v>0</v>
      </c>
      <c r="H14" s="93" t="s">
        <v>233</v>
      </c>
      <c r="I14" s="94" t="s">
        <v>238</v>
      </c>
      <c r="J14" s="94">
        <v>60000</v>
      </c>
      <c r="K14" s="94"/>
      <c r="L14" s="94">
        <f t="shared" ref="L14:L18" si="1">K14/J14</f>
        <v>0</v>
      </c>
      <c r="N14" s="93" t="s">
        <v>233</v>
      </c>
      <c r="O14" s="94" t="s">
        <v>238</v>
      </c>
      <c r="P14" s="94">
        <v>60000</v>
      </c>
      <c r="Q14" s="94"/>
      <c r="R14" s="94">
        <f t="shared" ref="R14:R18" si="2">Q14/P14</f>
        <v>0</v>
      </c>
    </row>
    <row r="15" spans="2:18" ht="70.05" customHeight="1" x14ac:dyDescent="0.35">
      <c r="B15" s="93" t="s">
        <v>231</v>
      </c>
      <c r="C15" s="94" t="s">
        <v>239</v>
      </c>
      <c r="D15" s="94">
        <v>1</v>
      </c>
      <c r="E15" s="94"/>
      <c r="F15" s="94">
        <f t="shared" si="0"/>
        <v>0</v>
      </c>
      <c r="H15" s="93" t="s">
        <v>231</v>
      </c>
      <c r="I15" s="94" t="s">
        <v>239</v>
      </c>
      <c r="J15" s="94">
        <v>1</v>
      </c>
      <c r="K15" s="94"/>
      <c r="L15" s="94">
        <f t="shared" si="1"/>
        <v>0</v>
      </c>
      <c r="N15" s="93" t="s">
        <v>231</v>
      </c>
      <c r="O15" s="94" t="s">
        <v>239</v>
      </c>
      <c r="P15" s="94">
        <v>1</v>
      </c>
      <c r="Q15" s="94"/>
      <c r="R15" s="94">
        <f t="shared" si="2"/>
        <v>0</v>
      </c>
    </row>
    <row r="16" spans="2:18" ht="70.05" customHeight="1" x14ac:dyDescent="0.35">
      <c r="B16" s="93" t="s">
        <v>234</v>
      </c>
      <c r="C16" s="94" t="s">
        <v>239</v>
      </c>
      <c r="D16" s="94">
        <v>1</v>
      </c>
      <c r="E16" s="94"/>
      <c r="F16" s="94">
        <f t="shared" si="0"/>
        <v>0</v>
      </c>
      <c r="H16" s="93" t="s">
        <v>234</v>
      </c>
      <c r="I16" s="94" t="s">
        <v>239</v>
      </c>
      <c r="J16" s="94">
        <v>1</v>
      </c>
      <c r="K16" s="94"/>
      <c r="L16" s="94">
        <f t="shared" si="1"/>
        <v>0</v>
      </c>
      <c r="N16" s="93" t="s">
        <v>234</v>
      </c>
      <c r="O16" s="94" t="s">
        <v>239</v>
      </c>
      <c r="P16" s="94">
        <v>1</v>
      </c>
      <c r="Q16" s="94"/>
      <c r="R16" s="94">
        <f t="shared" si="2"/>
        <v>0</v>
      </c>
    </row>
    <row r="17" spans="2:18" ht="70.05" customHeight="1" x14ac:dyDescent="0.35">
      <c r="B17" s="93" t="s">
        <v>232</v>
      </c>
      <c r="C17" s="94" t="s">
        <v>236</v>
      </c>
      <c r="D17" s="94">
        <v>11500</v>
      </c>
      <c r="E17" s="94"/>
      <c r="F17" s="94">
        <f t="shared" si="0"/>
        <v>0</v>
      </c>
      <c r="H17" s="93" t="s">
        <v>232</v>
      </c>
      <c r="I17" s="94" t="s">
        <v>236</v>
      </c>
      <c r="J17" s="94">
        <v>11500</v>
      </c>
      <c r="K17" s="94"/>
      <c r="L17" s="94">
        <f t="shared" si="1"/>
        <v>0</v>
      </c>
      <c r="N17" s="93" t="s">
        <v>232</v>
      </c>
      <c r="O17" s="94" t="s">
        <v>236</v>
      </c>
      <c r="P17" s="94">
        <v>11500</v>
      </c>
      <c r="Q17" s="94"/>
      <c r="R17" s="94">
        <f t="shared" si="2"/>
        <v>0</v>
      </c>
    </row>
    <row r="18" spans="2:18" ht="70.05" customHeight="1" x14ac:dyDescent="0.35">
      <c r="B18" s="93" t="s">
        <v>235</v>
      </c>
      <c r="C18" s="94" t="s">
        <v>236</v>
      </c>
      <c r="D18" s="94">
        <v>23000</v>
      </c>
      <c r="E18" s="94"/>
      <c r="F18" s="94">
        <f t="shared" si="0"/>
        <v>0</v>
      </c>
      <c r="H18" s="93" t="s">
        <v>235</v>
      </c>
      <c r="I18" s="94" t="s">
        <v>236</v>
      </c>
      <c r="J18" s="94">
        <v>23000</v>
      </c>
      <c r="K18" s="94"/>
      <c r="L18" s="94">
        <f t="shared" si="1"/>
        <v>0</v>
      </c>
      <c r="N18" s="93" t="s">
        <v>235</v>
      </c>
      <c r="O18" s="94" t="s">
        <v>236</v>
      </c>
      <c r="P18" s="94">
        <v>23000</v>
      </c>
      <c r="Q18" s="94"/>
      <c r="R18" s="94">
        <f t="shared" si="2"/>
        <v>0</v>
      </c>
    </row>
    <row r="19" spans="2:18" x14ac:dyDescent="0.35">
      <c r="B19" s="118" t="s">
        <v>226</v>
      </c>
      <c r="C19" s="118"/>
      <c r="D19" s="118"/>
      <c r="E19" s="118"/>
      <c r="F19" s="94"/>
      <c r="H19" s="118" t="s">
        <v>226</v>
      </c>
      <c r="I19" s="118"/>
      <c r="J19" s="118"/>
      <c r="K19" s="118"/>
      <c r="L19" s="94"/>
      <c r="N19" s="118" t="s">
        <v>226</v>
      </c>
      <c r="O19" s="118"/>
      <c r="P19" s="118"/>
      <c r="Q19" s="118"/>
      <c r="R19" s="94"/>
    </row>
    <row r="20" spans="2:18" x14ac:dyDescent="0.35">
      <c r="B20" s="118" t="s">
        <v>227</v>
      </c>
      <c r="C20" s="118"/>
      <c r="D20" s="118"/>
      <c r="E20" s="118"/>
      <c r="F20" s="94"/>
      <c r="H20" s="118" t="s">
        <v>227</v>
      </c>
      <c r="I20" s="118"/>
      <c r="J20" s="118"/>
      <c r="K20" s="118"/>
      <c r="L20" s="94"/>
      <c r="N20" s="118" t="s">
        <v>227</v>
      </c>
      <c r="O20" s="118"/>
      <c r="P20" s="118"/>
      <c r="Q20" s="118"/>
      <c r="R20" s="94"/>
    </row>
    <row r="21" spans="2:18" x14ac:dyDescent="0.35">
      <c r="B21" s="118" t="s">
        <v>94</v>
      </c>
      <c r="C21" s="118"/>
      <c r="D21" s="118"/>
      <c r="E21" s="118"/>
      <c r="F21" s="94"/>
      <c r="H21" s="118" t="s">
        <v>94</v>
      </c>
      <c r="I21" s="118"/>
      <c r="J21" s="118"/>
      <c r="K21" s="118"/>
      <c r="L21" s="94"/>
      <c r="N21" s="118" t="s">
        <v>94</v>
      </c>
      <c r="O21" s="118"/>
      <c r="P21" s="118"/>
      <c r="Q21" s="118"/>
      <c r="R21" s="94"/>
    </row>
    <row r="22" spans="2:18" x14ac:dyDescent="0.35">
      <c r="B22" s="118" t="s">
        <v>228</v>
      </c>
      <c r="C22" s="118"/>
      <c r="D22" s="118"/>
      <c r="E22" s="118"/>
      <c r="F22" s="94"/>
      <c r="H22" s="118" t="s">
        <v>228</v>
      </c>
      <c r="I22" s="118"/>
      <c r="J22" s="118"/>
      <c r="K22" s="118"/>
      <c r="L22" s="94"/>
      <c r="N22" s="118" t="s">
        <v>228</v>
      </c>
      <c r="O22" s="118"/>
      <c r="P22" s="118"/>
      <c r="Q22" s="118"/>
      <c r="R22" s="94"/>
    </row>
    <row r="24" spans="2:18" x14ac:dyDescent="0.35">
      <c r="B24" s="129" t="s">
        <v>240</v>
      </c>
      <c r="C24" s="130"/>
      <c r="D24" s="130"/>
      <c r="E24" s="130"/>
      <c r="F24" s="131"/>
      <c r="H24" s="129" t="s">
        <v>240</v>
      </c>
      <c r="I24" s="130"/>
      <c r="J24" s="130"/>
      <c r="K24" s="130"/>
      <c r="L24" s="131"/>
      <c r="N24" s="129" t="s">
        <v>240</v>
      </c>
      <c r="O24" s="130"/>
      <c r="P24" s="130"/>
      <c r="Q24" s="130"/>
      <c r="R24" s="131"/>
    </row>
    <row r="25" spans="2:18" ht="49.95" customHeight="1" x14ac:dyDescent="0.35">
      <c r="B25" s="94" t="s">
        <v>223</v>
      </c>
      <c r="C25" s="94" t="s">
        <v>26</v>
      </c>
      <c r="D25" s="93" t="s">
        <v>123</v>
      </c>
      <c r="E25" s="94" t="s">
        <v>27</v>
      </c>
      <c r="F25" s="93" t="s">
        <v>93</v>
      </c>
      <c r="H25" s="94" t="s">
        <v>223</v>
      </c>
      <c r="I25" s="94" t="s">
        <v>26</v>
      </c>
      <c r="J25" s="93" t="s">
        <v>123</v>
      </c>
      <c r="K25" s="94" t="s">
        <v>27</v>
      </c>
      <c r="L25" s="93" t="s">
        <v>93</v>
      </c>
      <c r="N25" s="94" t="s">
        <v>223</v>
      </c>
      <c r="O25" s="94" t="s">
        <v>26</v>
      </c>
      <c r="P25" s="93" t="s">
        <v>123</v>
      </c>
      <c r="Q25" s="94" t="s">
        <v>27</v>
      </c>
      <c r="R25" s="93" t="s">
        <v>93</v>
      </c>
    </row>
    <row r="26" spans="2:18" ht="70.05" customHeight="1" x14ac:dyDescent="0.35">
      <c r="B26" s="93" t="s">
        <v>241</v>
      </c>
      <c r="C26" s="93" t="s">
        <v>242</v>
      </c>
      <c r="D26" s="94">
        <v>1680</v>
      </c>
      <c r="E26" s="94"/>
      <c r="F26" s="94">
        <f>E26/D26</f>
        <v>0</v>
      </c>
      <c r="H26" s="93" t="s">
        <v>241</v>
      </c>
      <c r="I26" s="93" t="s">
        <v>242</v>
      </c>
      <c r="J26" s="94">
        <v>1680</v>
      </c>
      <c r="K26" s="94"/>
      <c r="L26" s="94">
        <f>K26/J26</f>
        <v>0</v>
      </c>
      <c r="N26" s="93" t="s">
        <v>241</v>
      </c>
      <c r="O26" s="93" t="s">
        <v>242</v>
      </c>
      <c r="P26" s="94">
        <v>1680</v>
      </c>
      <c r="Q26" s="94"/>
      <c r="R26" s="94">
        <f>Q26/P26</f>
        <v>0</v>
      </c>
    </row>
    <row r="27" spans="2:18" ht="18" customHeight="1" x14ac:dyDescent="0.35">
      <c r="B27" s="118" t="s">
        <v>226</v>
      </c>
      <c r="C27" s="118"/>
      <c r="D27" s="118"/>
      <c r="E27" s="118"/>
      <c r="F27" s="94"/>
      <c r="H27" s="118" t="s">
        <v>226</v>
      </c>
      <c r="I27" s="118"/>
      <c r="J27" s="118"/>
      <c r="K27" s="118"/>
      <c r="L27" s="94"/>
      <c r="N27" s="118" t="s">
        <v>226</v>
      </c>
      <c r="O27" s="118"/>
      <c r="P27" s="118"/>
      <c r="Q27" s="118"/>
      <c r="R27" s="94"/>
    </row>
    <row r="28" spans="2:18" ht="18" customHeight="1" x14ac:dyDescent="0.35">
      <c r="B28" s="118" t="s">
        <v>227</v>
      </c>
      <c r="C28" s="118"/>
      <c r="D28" s="118"/>
      <c r="E28" s="118"/>
      <c r="F28" s="94"/>
      <c r="H28" s="118" t="s">
        <v>227</v>
      </c>
      <c r="I28" s="118"/>
      <c r="J28" s="118"/>
      <c r="K28" s="118"/>
      <c r="L28" s="94"/>
      <c r="N28" s="118" t="s">
        <v>227</v>
      </c>
      <c r="O28" s="118"/>
      <c r="P28" s="118"/>
      <c r="Q28" s="118"/>
      <c r="R28" s="94"/>
    </row>
    <row r="29" spans="2:18" ht="18" customHeight="1" x14ac:dyDescent="0.35">
      <c r="B29" s="118" t="s">
        <v>94</v>
      </c>
      <c r="C29" s="118"/>
      <c r="D29" s="118"/>
      <c r="E29" s="118"/>
      <c r="F29" s="94"/>
      <c r="H29" s="118" t="s">
        <v>94</v>
      </c>
      <c r="I29" s="118"/>
      <c r="J29" s="118"/>
      <c r="K29" s="118"/>
      <c r="L29" s="94"/>
      <c r="N29" s="118" t="s">
        <v>94</v>
      </c>
      <c r="O29" s="118"/>
      <c r="P29" s="118"/>
      <c r="Q29" s="118"/>
      <c r="R29" s="94"/>
    </row>
    <row r="30" spans="2:18" ht="18" customHeight="1" x14ac:dyDescent="0.35">
      <c r="B30" s="118" t="s">
        <v>228</v>
      </c>
      <c r="C30" s="118"/>
      <c r="D30" s="118"/>
      <c r="E30" s="118"/>
      <c r="F30" s="94"/>
      <c r="H30" s="118" t="s">
        <v>228</v>
      </c>
      <c r="I30" s="118"/>
      <c r="J30" s="118"/>
      <c r="K30" s="118"/>
      <c r="L30" s="94"/>
      <c r="N30" s="118" t="s">
        <v>228</v>
      </c>
      <c r="O30" s="118"/>
      <c r="P30" s="118"/>
      <c r="Q30" s="118"/>
      <c r="R30" s="94"/>
    </row>
    <row r="32" spans="2:18" ht="49.95" customHeight="1" x14ac:dyDescent="0.35">
      <c r="B32" s="116" t="s">
        <v>243</v>
      </c>
      <c r="C32" s="116"/>
      <c r="D32" s="116"/>
      <c r="E32" s="116"/>
      <c r="F32" s="116"/>
      <c r="H32" s="116" t="s">
        <v>243</v>
      </c>
      <c r="I32" s="116"/>
      <c r="J32" s="116"/>
      <c r="K32" s="116"/>
      <c r="L32" s="116"/>
      <c r="N32" s="116" t="s">
        <v>243</v>
      </c>
      <c r="O32" s="116"/>
      <c r="P32" s="116"/>
      <c r="Q32" s="116"/>
      <c r="R32" s="116"/>
    </row>
    <row r="33" spans="2:18" ht="49.95" customHeight="1" x14ac:dyDescent="0.35">
      <c r="B33" s="94" t="s">
        <v>223</v>
      </c>
      <c r="C33" s="94" t="s">
        <v>26</v>
      </c>
      <c r="D33" s="93" t="s">
        <v>123</v>
      </c>
      <c r="E33" s="94" t="s">
        <v>27</v>
      </c>
      <c r="F33" s="93" t="s">
        <v>93</v>
      </c>
      <c r="H33" s="94" t="s">
        <v>223</v>
      </c>
      <c r="I33" s="94" t="s">
        <v>26</v>
      </c>
      <c r="J33" s="93" t="s">
        <v>123</v>
      </c>
      <c r="K33" s="94" t="s">
        <v>27</v>
      </c>
      <c r="L33" s="93" t="s">
        <v>93</v>
      </c>
      <c r="N33" s="94" t="s">
        <v>223</v>
      </c>
      <c r="O33" s="94" t="s">
        <v>26</v>
      </c>
      <c r="P33" s="93" t="s">
        <v>123</v>
      </c>
      <c r="Q33" s="94" t="s">
        <v>27</v>
      </c>
      <c r="R33" s="93" t="s">
        <v>93</v>
      </c>
    </row>
    <row r="34" spans="2:18" ht="49.95" customHeight="1" x14ac:dyDescent="0.35">
      <c r="B34" s="93" t="s">
        <v>245</v>
      </c>
      <c r="C34" s="93" t="s">
        <v>246</v>
      </c>
      <c r="D34" s="94">
        <v>1</v>
      </c>
      <c r="E34" s="94"/>
      <c r="F34" s="94">
        <f>E34/D34</f>
        <v>0</v>
      </c>
      <c r="H34" s="93" t="s">
        <v>245</v>
      </c>
      <c r="I34" s="93" t="s">
        <v>251</v>
      </c>
      <c r="J34" s="94">
        <v>1</v>
      </c>
      <c r="K34" s="94"/>
      <c r="L34" s="94">
        <f>K34/J34</f>
        <v>0</v>
      </c>
      <c r="N34" s="93" t="s">
        <v>244</v>
      </c>
      <c r="O34" s="93" t="s">
        <v>247</v>
      </c>
      <c r="P34" s="94">
        <v>2300</v>
      </c>
      <c r="Q34" s="94"/>
      <c r="R34" s="94">
        <f>Q34/P34</f>
        <v>0</v>
      </c>
    </row>
    <row r="35" spans="2:18" ht="49.95" customHeight="1" x14ac:dyDescent="0.35">
      <c r="B35" s="93" t="s">
        <v>244</v>
      </c>
      <c r="C35" s="93" t="s">
        <v>247</v>
      </c>
      <c r="D35" s="94">
        <v>2300</v>
      </c>
      <c r="E35" s="94"/>
      <c r="F35" s="94">
        <f>E35/D35</f>
        <v>0</v>
      </c>
      <c r="H35" s="93" t="s">
        <v>244</v>
      </c>
      <c r="I35" s="93" t="s">
        <v>247</v>
      </c>
      <c r="J35" s="94">
        <v>2300</v>
      </c>
      <c r="K35" s="94"/>
      <c r="L35" s="94">
        <f>K35/J35</f>
        <v>0</v>
      </c>
      <c r="N35" s="129" t="s">
        <v>226</v>
      </c>
      <c r="O35" s="130"/>
      <c r="P35" s="130"/>
      <c r="Q35" s="131"/>
      <c r="R35" s="94"/>
    </row>
    <row r="36" spans="2:18" ht="18" customHeight="1" x14ac:dyDescent="0.35">
      <c r="B36" s="118" t="s">
        <v>226</v>
      </c>
      <c r="C36" s="118"/>
      <c r="D36" s="118"/>
      <c r="E36" s="118"/>
      <c r="F36" s="94"/>
      <c r="H36" s="118" t="s">
        <v>226</v>
      </c>
      <c r="I36" s="118"/>
      <c r="J36" s="118"/>
      <c r="K36" s="118"/>
      <c r="L36" s="94"/>
      <c r="N36" s="129" t="s">
        <v>227</v>
      </c>
      <c r="O36" s="130"/>
      <c r="P36" s="130"/>
      <c r="Q36" s="131"/>
      <c r="R36" s="94"/>
    </row>
    <row r="37" spans="2:18" ht="18" customHeight="1" x14ac:dyDescent="0.35">
      <c r="B37" s="118" t="s">
        <v>227</v>
      </c>
      <c r="C37" s="118"/>
      <c r="D37" s="118"/>
      <c r="E37" s="118"/>
      <c r="F37" s="94"/>
      <c r="H37" s="118" t="s">
        <v>227</v>
      </c>
      <c r="I37" s="118"/>
      <c r="J37" s="118"/>
      <c r="K37" s="118"/>
      <c r="L37" s="94"/>
      <c r="N37" s="129" t="s">
        <v>94</v>
      </c>
      <c r="O37" s="130"/>
      <c r="P37" s="130"/>
      <c r="Q37" s="131"/>
      <c r="R37" s="94"/>
    </row>
    <row r="38" spans="2:18" ht="18" customHeight="1" x14ac:dyDescent="0.35">
      <c r="B38" s="118" t="s">
        <v>94</v>
      </c>
      <c r="C38" s="118"/>
      <c r="D38" s="118"/>
      <c r="E38" s="118"/>
      <c r="F38" s="94"/>
      <c r="H38" s="118" t="s">
        <v>94</v>
      </c>
      <c r="I38" s="118"/>
      <c r="J38" s="118"/>
      <c r="K38" s="118"/>
      <c r="L38" s="94"/>
      <c r="N38" s="118" t="s">
        <v>254</v>
      </c>
      <c r="O38" s="118"/>
      <c r="P38" s="118"/>
      <c r="Q38" s="118"/>
      <c r="R38" s="94"/>
    </row>
    <row r="39" spans="2:18" ht="18" customHeight="1" x14ac:dyDescent="0.35">
      <c r="B39" s="118" t="s">
        <v>254</v>
      </c>
      <c r="C39" s="118"/>
      <c r="D39" s="118"/>
      <c r="E39" s="118"/>
      <c r="F39" s="94"/>
      <c r="H39" s="118" t="s">
        <v>254</v>
      </c>
      <c r="I39" s="118"/>
      <c r="J39" s="118"/>
      <c r="K39" s="118"/>
      <c r="L39" s="94"/>
    </row>
  </sheetData>
  <mergeCells count="60">
    <mergeCell ref="N38:Q38"/>
    <mergeCell ref="N37:Q37"/>
    <mergeCell ref="N36:Q36"/>
    <mergeCell ref="N35:Q35"/>
    <mergeCell ref="N28:Q28"/>
    <mergeCell ref="N29:Q29"/>
    <mergeCell ref="N30:Q30"/>
    <mergeCell ref="N32:R32"/>
    <mergeCell ref="N19:Q19"/>
    <mergeCell ref="N20:Q20"/>
    <mergeCell ref="N21:Q21"/>
    <mergeCell ref="N22:Q22"/>
    <mergeCell ref="N24:R24"/>
    <mergeCell ref="N27:Q27"/>
    <mergeCell ref="N2:R2"/>
    <mergeCell ref="N6:Q6"/>
    <mergeCell ref="N7:Q7"/>
    <mergeCell ref="N8:Q8"/>
    <mergeCell ref="N9:Q9"/>
    <mergeCell ref="N11:R11"/>
    <mergeCell ref="H30:K30"/>
    <mergeCell ref="H32:L32"/>
    <mergeCell ref="H36:K36"/>
    <mergeCell ref="H37:K37"/>
    <mergeCell ref="H38:K38"/>
    <mergeCell ref="H39:K39"/>
    <mergeCell ref="H21:K21"/>
    <mergeCell ref="H22:K22"/>
    <mergeCell ref="H24:L24"/>
    <mergeCell ref="H27:K27"/>
    <mergeCell ref="H28:K28"/>
    <mergeCell ref="H29:K29"/>
    <mergeCell ref="B38:E38"/>
    <mergeCell ref="B39:E39"/>
    <mergeCell ref="H2:L2"/>
    <mergeCell ref="H6:K6"/>
    <mergeCell ref="H7:K7"/>
    <mergeCell ref="H8:K8"/>
    <mergeCell ref="H9:K9"/>
    <mergeCell ref="H11:L11"/>
    <mergeCell ref="H19:K19"/>
    <mergeCell ref="H20:K20"/>
    <mergeCell ref="B29:E29"/>
    <mergeCell ref="B30:E30"/>
    <mergeCell ref="B24:F24"/>
    <mergeCell ref="B32:F32"/>
    <mergeCell ref="B36:E36"/>
    <mergeCell ref="B37:E37"/>
    <mergeCell ref="B22:E22"/>
    <mergeCell ref="B21:E21"/>
    <mergeCell ref="B20:E20"/>
    <mergeCell ref="B19:E19"/>
    <mergeCell ref="B27:E27"/>
    <mergeCell ref="B28:E28"/>
    <mergeCell ref="B2:F2"/>
    <mergeCell ref="B11:F11"/>
    <mergeCell ref="B6:E6"/>
    <mergeCell ref="B7:E7"/>
    <mergeCell ref="B8:E8"/>
    <mergeCell ref="B9:E9"/>
  </mergeCells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29"/>
  <sheetViews>
    <sheetView workbookViewId="0">
      <selection activeCell="B26" sqref="B26:E29"/>
    </sheetView>
  </sheetViews>
  <sheetFormatPr defaultRowHeight="18" x14ac:dyDescent="0.35"/>
  <cols>
    <col min="2" max="2" width="25.6328125" customWidth="1"/>
    <col min="3" max="4" width="14.6328125" customWidth="1"/>
    <col min="5" max="5" width="8.6328125" customWidth="1"/>
    <col min="6" max="6" width="14.6328125" customWidth="1"/>
  </cols>
  <sheetData>
    <row r="1" spans="2:6" x14ac:dyDescent="0.35">
      <c r="B1" t="s">
        <v>248</v>
      </c>
    </row>
    <row r="2" spans="2:6" x14ac:dyDescent="0.35">
      <c r="B2" s="129" t="s">
        <v>252</v>
      </c>
      <c r="C2" s="130"/>
      <c r="D2" s="130"/>
      <c r="E2" s="130"/>
      <c r="F2" s="131"/>
    </row>
    <row r="3" spans="2:6" ht="36" x14ac:dyDescent="0.35">
      <c r="B3" s="94" t="s">
        <v>223</v>
      </c>
      <c r="C3" s="94" t="s">
        <v>26</v>
      </c>
      <c r="D3" s="93" t="s">
        <v>123</v>
      </c>
      <c r="E3" s="94" t="s">
        <v>27</v>
      </c>
      <c r="F3" s="93" t="s">
        <v>93</v>
      </c>
    </row>
    <row r="4" spans="2:6" x14ac:dyDescent="0.35">
      <c r="B4" s="93" t="s">
        <v>244</v>
      </c>
      <c r="C4" s="93" t="s">
        <v>255</v>
      </c>
      <c r="D4" s="94">
        <v>9</v>
      </c>
      <c r="E4" s="94"/>
      <c r="F4" s="94"/>
    </row>
    <row r="5" spans="2:6" ht="36" x14ac:dyDescent="0.35">
      <c r="B5" s="93" t="s">
        <v>253</v>
      </c>
      <c r="C5" s="93" t="s">
        <v>265</v>
      </c>
      <c r="D5" s="94">
        <v>2300</v>
      </c>
      <c r="E5" s="94"/>
      <c r="F5" s="94"/>
    </row>
    <row r="6" spans="2:6" ht="54" x14ac:dyDescent="0.35">
      <c r="B6" s="93" t="s">
        <v>253</v>
      </c>
      <c r="C6" s="93" t="s">
        <v>256</v>
      </c>
      <c r="D6" s="94">
        <v>6000</v>
      </c>
      <c r="E6" s="94"/>
      <c r="F6" s="94"/>
    </row>
    <row r="7" spans="2:6" x14ac:dyDescent="0.35">
      <c r="B7" s="118" t="s">
        <v>226</v>
      </c>
      <c r="C7" s="118"/>
      <c r="D7" s="118"/>
      <c r="E7" s="118"/>
      <c r="F7" s="94"/>
    </row>
    <row r="8" spans="2:6" x14ac:dyDescent="0.35">
      <c r="B8" s="118" t="s">
        <v>227</v>
      </c>
      <c r="C8" s="118"/>
      <c r="D8" s="118"/>
      <c r="E8" s="118"/>
      <c r="F8" s="94"/>
    </row>
    <row r="9" spans="2:6" x14ac:dyDescent="0.35">
      <c r="B9" s="118" t="s">
        <v>94</v>
      </c>
      <c r="C9" s="118"/>
      <c r="D9" s="118"/>
      <c r="E9" s="118"/>
      <c r="F9" s="94"/>
    </row>
    <row r="10" spans="2:6" x14ac:dyDescent="0.35">
      <c r="B10" s="118" t="s">
        <v>254</v>
      </c>
      <c r="C10" s="118"/>
      <c r="D10" s="118"/>
      <c r="E10" s="118"/>
      <c r="F10" s="94"/>
    </row>
    <row r="11" spans="2:6" x14ac:dyDescent="0.35">
      <c r="B11" s="6"/>
      <c r="C11" s="6"/>
      <c r="D11" s="6"/>
      <c r="E11" s="6"/>
      <c r="F11" s="6"/>
    </row>
    <row r="12" spans="2:6" x14ac:dyDescent="0.35">
      <c r="B12" s="129" t="s">
        <v>257</v>
      </c>
      <c r="C12" s="130"/>
      <c r="D12" s="130"/>
      <c r="E12" s="130"/>
      <c r="F12" s="131"/>
    </row>
    <row r="13" spans="2:6" ht="36" x14ac:dyDescent="0.35">
      <c r="B13" s="94" t="s">
        <v>223</v>
      </c>
      <c r="C13" s="94" t="s">
        <v>26</v>
      </c>
      <c r="D13" s="93" t="s">
        <v>123</v>
      </c>
      <c r="E13" s="94" t="s">
        <v>27</v>
      </c>
      <c r="F13" s="93" t="s">
        <v>93</v>
      </c>
    </row>
    <row r="14" spans="2:6" ht="30" customHeight="1" x14ac:dyDescent="0.35">
      <c r="B14" s="93" t="s">
        <v>244</v>
      </c>
      <c r="C14" s="116" t="s">
        <v>259</v>
      </c>
      <c r="D14" s="94">
        <v>1850</v>
      </c>
      <c r="E14" s="94"/>
      <c r="F14" s="94"/>
    </row>
    <row r="15" spans="2:6" ht="30" customHeight="1" x14ac:dyDescent="0.35">
      <c r="B15" s="93" t="s">
        <v>253</v>
      </c>
      <c r="C15" s="116"/>
      <c r="D15" s="94">
        <v>1200</v>
      </c>
      <c r="E15" s="94"/>
      <c r="F15" s="94"/>
    </row>
    <row r="16" spans="2:6" ht="36" x14ac:dyDescent="0.35">
      <c r="B16" s="93" t="s">
        <v>258</v>
      </c>
      <c r="C16" s="93" t="s">
        <v>239</v>
      </c>
      <c r="D16" s="94">
        <v>1</v>
      </c>
      <c r="E16" s="94"/>
      <c r="F16" s="94"/>
    </row>
    <row r="17" spans="2:6" x14ac:dyDescent="0.35">
      <c r="B17" s="118" t="s">
        <v>226</v>
      </c>
      <c r="C17" s="118"/>
      <c r="D17" s="118"/>
      <c r="E17" s="118"/>
      <c r="F17" s="94"/>
    </row>
    <row r="18" spans="2:6" x14ac:dyDescent="0.35">
      <c r="B18" s="118" t="s">
        <v>227</v>
      </c>
      <c r="C18" s="118"/>
      <c r="D18" s="118"/>
      <c r="E18" s="118"/>
      <c r="F18" s="94"/>
    </row>
    <row r="19" spans="2:6" x14ac:dyDescent="0.35">
      <c r="B19" s="118" t="s">
        <v>94</v>
      </c>
      <c r="C19" s="118"/>
      <c r="D19" s="118"/>
      <c r="E19" s="118"/>
      <c r="F19" s="94"/>
    </row>
    <row r="20" spans="2:6" x14ac:dyDescent="0.35">
      <c r="B20" s="118" t="s">
        <v>254</v>
      </c>
      <c r="C20" s="118"/>
      <c r="D20" s="118"/>
      <c r="E20" s="118"/>
      <c r="F20" s="94"/>
    </row>
    <row r="21" spans="2:6" x14ac:dyDescent="0.35">
      <c r="B21" s="6"/>
      <c r="C21" s="6"/>
      <c r="D21" s="6"/>
      <c r="E21" s="6"/>
      <c r="F21" s="6"/>
    </row>
    <row r="22" spans="2:6" x14ac:dyDescent="0.35">
      <c r="B22" s="129" t="s">
        <v>260</v>
      </c>
      <c r="C22" s="130"/>
      <c r="D22" s="130"/>
      <c r="E22" s="130"/>
      <c r="F22" s="131"/>
    </row>
    <row r="23" spans="2:6" ht="36" x14ac:dyDescent="0.35">
      <c r="B23" s="94" t="s">
        <v>223</v>
      </c>
      <c r="C23" s="94" t="s">
        <v>26</v>
      </c>
      <c r="D23" s="93" t="s">
        <v>123</v>
      </c>
      <c r="E23" s="94" t="s">
        <v>27</v>
      </c>
      <c r="F23" s="93" t="s">
        <v>93</v>
      </c>
    </row>
    <row r="24" spans="2:6" x14ac:dyDescent="0.35">
      <c r="B24" s="93" t="s">
        <v>261</v>
      </c>
      <c r="C24" s="93" t="s">
        <v>262</v>
      </c>
      <c r="D24" s="94">
        <v>1</v>
      </c>
      <c r="E24" s="94"/>
      <c r="F24" s="94"/>
    </row>
    <row r="25" spans="2:6" x14ac:dyDescent="0.35">
      <c r="B25" s="93" t="s">
        <v>263</v>
      </c>
      <c r="C25" s="93" t="s">
        <v>264</v>
      </c>
      <c r="D25" s="94">
        <v>1</v>
      </c>
      <c r="E25" s="94"/>
      <c r="F25" s="94"/>
    </row>
    <row r="26" spans="2:6" x14ac:dyDescent="0.35">
      <c r="B26" s="118" t="s">
        <v>226</v>
      </c>
      <c r="C26" s="118"/>
      <c r="D26" s="118"/>
      <c r="E26" s="118"/>
      <c r="F26" s="94"/>
    </row>
    <row r="27" spans="2:6" x14ac:dyDescent="0.35">
      <c r="B27" s="118" t="s">
        <v>227</v>
      </c>
      <c r="C27" s="118"/>
      <c r="D27" s="118"/>
      <c r="E27" s="118"/>
      <c r="F27" s="94"/>
    </row>
    <row r="28" spans="2:6" x14ac:dyDescent="0.35">
      <c r="B28" s="118" t="s">
        <v>94</v>
      </c>
      <c r="C28" s="118"/>
      <c r="D28" s="118"/>
      <c r="E28" s="118"/>
      <c r="F28" s="94"/>
    </row>
    <row r="29" spans="2:6" x14ac:dyDescent="0.35">
      <c r="B29" s="118" t="s">
        <v>254</v>
      </c>
      <c r="C29" s="118"/>
      <c r="D29" s="118"/>
      <c r="E29" s="118"/>
      <c r="F29" s="94"/>
    </row>
  </sheetData>
  <mergeCells count="16">
    <mergeCell ref="B28:E28"/>
    <mergeCell ref="B29:E29"/>
    <mergeCell ref="B2:F2"/>
    <mergeCell ref="B12:F12"/>
    <mergeCell ref="B22:F22"/>
    <mergeCell ref="B17:E17"/>
    <mergeCell ref="B18:E18"/>
    <mergeCell ref="B19:E19"/>
    <mergeCell ref="B20:E20"/>
    <mergeCell ref="B26:E26"/>
    <mergeCell ref="B27:E27"/>
    <mergeCell ref="B7:E7"/>
    <mergeCell ref="B8:E8"/>
    <mergeCell ref="B9:E9"/>
    <mergeCell ref="B10:E10"/>
    <mergeCell ref="C14:C1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0"/>
  <sheetViews>
    <sheetView workbookViewId="0">
      <selection activeCell="C17" sqref="C17"/>
    </sheetView>
  </sheetViews>
  <sheetFormatPr defaultRowHeight="18" x14ac:dyDescent="0.35"/>
  <cols>
    <col min="2" max="5" width="14.6328125" customWidth="1"/>
    <col min="6" max="6" width="8.6328125" customWidth="1"/>
    <col min="7" max="7" width="14.6328125" customWidth="1"/>
  </cols>
  <sheetData>
    <row r="2" spans="2:7" x14ac:dyDescent="0.35">
      <c r="B2" s="139" t="s">
        <v>266</v>
      </c>
      <c r="C2" s="140"/>
      <c r="D2" s="140"/>
      <c r="E2" s="140"/>
      <c r="F2" s="140"/>
      <c r="G2" s="141"/>
    </row>
    <row r="3" spans="2:7" ht="36" x14ac:dyDescent="0.35">
      <c r="B3" s="93" t="s">
        <v>267</v>
      </c>
      <c r="C3" s="93" t="s">
        <v>91</v>
      </c>
      <c r="D3" s="93" t="s">
        <v>26</v>
      </c>
      <c r="E3" s="93" t="s">
        <v>123</v>
      </c>
      <c r="F3" s="93" t="s">
        <v>27</v>
      </c>
      <c r="G3" s="93" t="s">
        <v>93</v>
      </c>
    </row>
    <row r="4" spans="2:7" x14ac:dyDescent="0.35">
      <c r="B4" s="94" t="s">
        <v>268</v>
      </c>
      <c r="C4" s="94" t="s">
        <v>269</v>
      </c>
      <c r="D4" s="94" t="s">
        <v>272</v>
      </c>
      <c r="E4" s="94">
        <v>1.3</v>
      </c>
      <c r="F4" s="94"/>
      <c r="G4" s="94"/>
    </row>
    <row r="5" spans="2:7" x14ac:dyDescent="0.35">
      <c r="B5" s="94" t="s">
        <v>268</v>
      </c>
      <c r="C5" s="94" t="s">
        <v>270</v>
      </c>
      <c r="D5" s="94" t="s">
        <v>273</v>
      </c>
      <c r="E5" s="94">
        <v>20</v>
      </c>
      <c r="F5" s="94"/>
      <c r="G5" s="94"/>
    </row>
    <row r="6" spans="2:7" x14ac:dyDescent="0.35">
      <c r="B6" s="94" t="s">
        <v>268</v>
      </c>
      <c r="C6" s="94" t="s">
        <v>271</v>
      </c>
      <c r="D6" s="94" t="s">
        <v>274</v>
      </c>
      <c r="E6" s="94">
        <v>1</v>
      </c>
      <c r="F6" s="94"/>
      <c r="G6" s="94"/>
    </row>
    <row r="7" spans="2:7" x14ac:dyDescent="0.35">
      <c r="B7" s="129" t="s">
        <v>226</v>
      </c>
      <c r="C7" s="130"/>
      <c r="D7" s="130"/>
      <c r="E7" s="130"/>
      <c r="F7" s="131"/>
      <c r="G7" s="94"/>
    </row>
    <row r="8" spans="2:7" x14ac:dyDescent="0.35">
      <c r="B8" s="129" t="s">
        <v>227</v>
      </c>
      <c r="C8" s="130"/>
      <c r="D8" s="130"/>
      <c r="E8" s="130"/>
      <c r="F8" s="131"/>
      <c r="G8" s="94"/>
    </row>
    <row r="9" spans="2:7" x14ac:dyDescent="0.35">
      <c r="B9" s="129" t="s">
        <v>94</v>
      </c>
      <c r="C9" s="130"/>
      <c r="D9" s="130"/>
      <c r="E9" s="130"/>
      <c r="F9" s="131"/>
      <c r="G9" s="94"/>
    </row>
    <row r="10" spans="2:7" x14ac:dyDescent="0.35">
      <c r="B10" s="129" t="s">
        <v>254</v>
      </c>
      <c r="C10" s="130"/>
      <c r="D10" s="130"/>
      <c r="E10" s="130"/>
      <c r="F10" s="131"/>
      <c r="G10" s="94"/>
    </row>
  </sheetData>
  <mergeCells count="5">
    <mergeCell ref="B2:G2"/>
    <mergeCell ref="B7:F7"/>
    <mergeCell ref="B10:F10"/>
    <mergeCell ref="B9:F9"/>
    <mergeCell ref="B8:F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11</vt:i4>
      </vt:variant>
    </vt:vector>
  </HeadingPairs>
  <TitlesOfParts>
    <vt:vector size="11" baseType="lpstr">
      <vt:lpstr>ЦС и Ф</vt:lpstr>
      <vt:lpstr>Др. ст.</vt:lpstr>
      <vt:lpstr>Линии связи</vt:lpstr>
      <vt:lpstr>Полный объем работ</vt:lpstr>
      <vt:lpstr>Численность ДС</vt:lpstr>
      <vt:lpstr>Численность штата ЛПУ ПС</vt:lpstr>
      <vt:lpstr>ч.ш. ЛПУ радиосвязи</vt:lpstr>
      <vt:lpstr>+ ЛПУ РДС</vt:lpstr>
      <vt:lpstr>ч.ш. РТУ</vt:lpstr>
      <vt:lpstr>ч. ш. ПБ</vt:lpstr>
      <vt:lpstr>ч. ш. ТТС 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Татьяна</dc:creator>
  <cp:lastModifiedBy>Татьяна</cp:lastModifiedBy>
  <dcterms:created xsi:type="dcterms:W3CDTF">2025-02-24T12:15:49Z</dcterms:created>
  <dcterms:modified xsi:type="dcterms:W3CDTF">2025-04-23T10:42:21Z</dcterms:modified>
</cp:coreProperties>
</file>