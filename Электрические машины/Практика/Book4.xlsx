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ithub\Course3\Электрические машины\Практика\"/>
    </mc:Choice>
  </mc:AlternateContent>
  <xr:revisionPtr revIDLastSave="0" documentId="13_ncr:1_{6725E034-845C-4CC4-9954-B54D68C83EF1}" xr6:coauthVersionLast="47" xr6:coauthVersionMax="47" xr10:uidLastSave="{00000000-0000-0000-0000-000000000000}"/>
  <bookViews>
    <workbookView xWindow="0" yWindow="0" windowWidth="14400" windowHeight="16200" xr2:uid="{A2D4E568-549A-4935-B465-6E79E9C6F3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O20" i="1" s="1"/>
  <c r="O26" i="1"/>
  <c r="M23" i="1"/>
  <c r="F23" i="1"/>
  <c r="D23" i="1"/>
  <c r="L13" i="1"/>
  <c r="J13" i="1"/>
  <c r="F13" i="1"/>
  <c r="G13" i="1"/>
  <c r="I13" i="1"/>
  <c r="H13" i="1"/>
  <c r="G8" i="1"/>
  <c r="F8" i="1"/>
  <c r="H18" i="1" l="1"/>
  <c r="O16" i="1"/>
</calcChain>
</file>

<file path=xl/sharedStrings.xml><?xml version="1.0" encoding="utf-8"?>
<sst xmlns="http://schemas.openxmlformats.org/spreadsheetml/2006/main" count="38" uniqueCount="31">
  <si>
    <t>Iян</t>
  </si>
  <si>
    <t>rя</t>
  </si>
  <si>
    <r>
      <t>.+Iвн</t>
    </r>
    <r>
      <rPr>
        <vertAlign val="superscript"/>
        <sz val="11"/>
        <color theme="1"/>
        <rFont val="Aptos Narrow"/>
        <family val="2"/>
        <scheme val="minor"/>
      </rPr>
      <t>2</t>
    </r>
  </si>
  <si>
    <t>Iвн</t>
  </si>
  <si>
    <r>
      <t>.*(r</t>
    </r>
    <r>
      <rPr>
        <vertAlign val="subscript"/>
        <sz val="11"/>
        <color theme="1"/>
        <rFont val="Aptos Narrow"/>
        <family val="2"/>
        <scheme val="minor"/>
      </rPr>
      <t>в</t>
    </r>
    <r>
      <rPr>
        <sz val="11"/>
        <color theme="1"/>
        <rFont val="Aptos Narrow"/>
        <family val="2"/>
        <scheme val="minor"/>
      </rPr>
      <t>+r</t>
    </r>
    <r>
      <rPr>
        <vertAlign val="subscript"/>
        <sz val="11"/>
        <color theme="1"/>
        <rFont val="Aptos Narrow"/>
        <family val="2"/>
        <scheme val="minor"/>
      </rPr>
      <t>вд</t>
    </r>
    <r>
      <rPr>
        <sz val="11"/>
        <color theme="1"/>
        <rFont val="Aptos Narrow"/>
        <family val="2"/>
        <scheme val="minor"/>
      </rPr>
      <t>)</t>
    </r>
  </si>
  <si>
    <t>rв</t>
  </si>
  <si>
    <r>
      <t>.+I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ян</t>
    </r>
  </si>
  <si>
    <t>.*rя</t>
  </si>
  <si>
    <t>n=</t>
  </si>
  <si>
    <t>ΣP=</t>
  </si>
  <si>
    <t>Pн</t>
  </si>
  <si>
    <t>Pн+ΣP</t>
  </si>
  <si>
    <t>Pн=</t>
  </si>
  <si>
    <t>n'</t>
  </si>
  <si>
    <t>Mc</t>
  </si>
  <si>
    <t>Mн</t>
  </si>
  <si>
    <t>Mc*n'</t>
  </si>
  <si>
    <t>Iян*rя</t>
  </si>
  <si>
    <r>
      <rPr>
        <vertAlign val="subscript"/>
        <sz val="18"/>
        <color theme="1"/>
        <rFont val="Aptos Narrow"/>
        <family val="2"/>
        <scheme val="minor"/>
      </rPr>
      <t>*</t>
    </r>
    <r>
      <rPr>
        <sz val="11"/>
        <color theme="1"/>
        <rFont val="Aptos Narrow"/>
        <family val="2"/>
        <scheme val="minor"/>
      </rPr>
      <t>100%=</t>
    </r>
  </si>
  <si>
    <t>rд</t>
  </si>
  <si>
    <t>n'=</t>
  </si>
  <si>
    <t>*10^3</t>
  </si>
  <si>
    <t>Uн</t>
  </si>
  <si>
    <t>I'ях</t>
  </si>
  <si>
    <t>nн</t>
  </si>
  <si>
    <t>Фн</t>
  </si>
  <si>
    <t>Ф</t>
  </si>
  <si>
    <t>.=</t>
  </si>
  <si>
    <t>P=</t>
  </si>
  <si>
    <t>213.92*1089</t>
  </si>
  <si>
    <t>Pн*ΣP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</si>
</sst>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bscript"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/>
    </xf>
    <xf numFmtId="11" fontId="0" fillId="0" borderId="0" xfId="0" applyNumberFormat="1"/>
    <xf numFmtId="0" fontId="0" fillId="0" borderId="1" xfId="0" applyBorder="1" applyAlignment="1">
      <alignment vertical="center"/>
    </xf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DBBA-442E-49A6-AE6F-885E8FB8A318}">
  <dimension ref="B7:S30"/>
  <sheetViews>
    <sheetView tabSelected="1" topLeftCell="A4" zoomScale="160" zoomScaleNormal="160" workbookViewId="0">
      <selection activeCell="C16" sqref="C16"/>
    </sheetView>
  </sheetViews>
  <sheetFormatPr defaultRowHeight="15" x14ac:dyDescent="0.25"/>
  <cols>
    <col min="4" max="4" width="7" bestFit="1" customWidth="1"/>
    <col min="5" max="5" width="4.140625" bestFit="1" customWidth="1"/>
    <col min="6" max="6" width="7.140625" customWidth="1"/>
    <col min="7" max="7" width="7" style="2" customWidth="1"/>
    <col min="8" max="8" width="8.140625" customWidth="1"/>
    <col min="9" max="9" width="7.140625" customWidth="1"/>
    <col min="10" max="10" width="8.85546875" customWidth="1"/>
    <col min="11" max="11" width="2.5703125" bestFit="1" customWidth="1"/>
    <col min="13" max="13" width="12" customWidth="1"/>
    <col min="14" max="14" width="2.5703125" customWidth="1"/>
    <col min="15" max="15" width="8.85546875" bestFit="1" customWidth="1"/>
    <col min="16" max="16" width="8.140625" customWidth="1"/>
    <col min="17" max="17" width="8.7109375" customWidth="1"/>
    <col min="18" max="18" width="12" bestFit="1" customWidth="1"/>
  </cols>
  <sheetData>
    <row r="7" spans="2:15" x14ac:dyDescent="0.25">
      <c r="C7" t="s">
        <v>0</v>
      </c>
      <c r="D7" t="s">
        <v>1</v>
      </c>
      <c r="E7" t="s">
        <v>3</v>
      </c>
      <c r="F7" t="s">
        <v>5</v>
      </c>
      <c r="G7" s="2" t="s">
        <v>19</v>
      </c>
      <c r="H7" t="s">
        <v>15</v>
      </c>
    </row>
    <row r="8" spans="2:15" x14ac:dyDescent="0.25">
      <c r="C8">
        <v>336</v>
      </c>
      <c r="D8">
        <v>1.6400000000000001E-2</v>
      </c>
      <c r="E8">
        <v>7.1429999999999998</v>
      </c>
      <c r="F8">
        <f>11+4.4</f>
        <v>15.4</v>
      </c>
      <c r="G8" s="2">
        <f>10*D8</f>
        <v>0.16400000000000001</v>
      </c>
      <c r="H8">
        <v>305.60000000000002</v>
      </c>
    </row>
    <row r="10" spans="2:15" ht="22.5" customHeight="1" x14ac:dyDescent="0.35">
      <c r="E10" t="s">
        <v>9</v>
      </c>
      <c r="F10" t="s">
        <v>17</v>
      </c>
      <c r="G10" t="s">
        <v>2</v>
      </c>
      <c r="H10" t="s">
        <v>4</v>
      </c>
      <c r="I10" t="s">
        <v>6</v>
      </c>
      <c r="J10" t="s">
        <v>7</v>
      </c>
      <c r="O10" s="2"/>
    </row>
    <row r="11" spans="2:15" x14ac:dyDescent="0.25">
      <c r="F11" s="2"/>
      <c r="G11"/>
    </row>
    <row r="13" spans="2:15" ht="17.25" customHeight="1" x14ac:dyDescent="0.25">
      <c r="E13" t="s">
        <v>9</v>
      </c>
      <c r="F13">
        <f>C8*D8</f>
        <v>5.5104000000000006</v>
      </c>
      <c r="G13" s="2">
        <f>E8*E8</f>
        <v>51.022448999999995</v>
      </c>
      <c r="H13">
        <f>F8+G8</f>
        <v>15.564</v>
      </c>
      <c r="I13">
        <f>C8*C8</f>
        <v>112896</v>
      </c>
      <c r="J13">
        <f>D8</f>
        <v>1.6400000000000001E-2</v>
      </c>
      <c r="K13" t="s">
        <v>27</v>
      </c>
      <c r="L13">
        <f>F13+G13*H13+I13*J13</f>
        <v>2651.1181962360001</v>
      </c>
    </row>
    <row r="14" spans="2:15" x14ac:dyDescent="0.25">
      <c r="B14" t="s">
        <v>14</v>
      </c>
      <c r="C14" t="s">
        <v>13</v>
      </c>
    </row>
    <row r="15" spans="2:15" x14ac:dyDescent="0.25">
      <c r="B15">
        <v>213.92</v>
      </c>
      <c r="C15">
        <v>1089</v>
      </c>
      <c r="E15" t="s">
        <v>12</v>
      </c>
      <c r="F15" s="5" t="s">
        <v>16</v>
      </c>
      <c r="G15" s="9">
        <f>(B15*C15)/9.55</f>
        <v>24393.599999999995</v>
      </c>
    </row>
    <row r="16" spans="2:15" x14ac:dyDescent="0.25">
      <c r="F16" s="2">
        <v>9.5500000000000007</v>
      </c>
      <c r="O16">
        <f>G15+L13</f>
        <v>27044.718196235994</v>
      </c>
    </row>
    <row r="17" spans="3:19" ht="15" customHeight="1" x14ac:dyDescent="0.25">
      <c r="S17" s="7"/>
    </row>
    <row r="18" spans="3:19" x14ac:dyDescent="0.25">
      <c r="E18" s="10" t="s">
        <v>8</v>
      </c>
      <c r="F18" s="4" t="s">
        <v>10</v>
      </c>
      <c r="G18" s="10" t="s">
        <v>18</v>
      </c>
      <c r="H18" s="10">
        <f>G15/(G15+L13)*100</f>
        <v>90.197279272797246</v>
      </c>
    </row>
    <row r="19" spans="3:19" x14ac:dyDescent="0.25">
      <c r="E19" s="10"/>
      <c r="F19" t="s">
        <v>11</v>
      </c>
      <c r="G19" s="10"/>
      <c r="H19" s="10"/>
    </row>
    <row r="20" spans="3:19" x14ac:dyDescent="0.25">
      <c r="H20" s="1"/>
      <c r="L20" s="12" t="s">
        <v>8</v>
      </c>
      <c r="M20" s="4" t="s">
        <v>10</v>
      </c>
      <c r="N20" s="10" t="s">
        <v>27</v>
      </c>
      <c r="O20" s="11">
        <f>(G15/(G15*L13))*100</f>
        <v>3.7719932721965325E-2</v>
      </c>
    </row>
    <row r="21" spans="3:19" x14ac:dyDescent="0.25">
      <c r="L21" s="12"/>
      <c r="M21" t="s">
        <v>30</v>
      </c>
      <c r="N21" s="10"/>
      <c r="O21" s="11"/>
    </row>
    <row r="22" spans="3:19" x14ac:dyDescent="0.25">
      <c r="C22" t="s">
        <v>22</v>
      </c>
      <c r="D22" t="s">
        <v>1</v>
      </c>
      <c r="E22" t="s">
        <v>23</v>
      </c>
      <c r="F22" t="s">
        <v>0</v>
      </c>
      <c r="G22" s="2" t="s">
        <v>24</v>
      </c>
      <c r="H22" t="s">
        <v>25</v>
      </c>
      <c r="I22" t="s">
        <v>26</v>
      </c>
    </row>
    <row r="23" spans="3:19" x14ac:dyDescent="0.25">
      <c r="C23">
        <v>110</v>
      </c>
      <c r="D23">
        <f>D8</f>
        <v>1.6400000000000001E-2</v>
      </c>
      <c r="E23">
        <v>19.192</v>
      </c>
      <c r="F23">
        <f>C8</f>
        <v>336</v>
      </c>
      <c r="G23" s="2">
        <v>1</v>
      </c>
      <c r="H23">
        <v>1</v>
      </c>
      <c r="I23">
        <v>0.93</v>
      </c>
      <c r="L23" s="6" t="s">
        <v>20</v>
      </c>
      <c r="M23">
        <f>G23*((C23-(D23*E23))/(C23-(D23*F23)))*(H23/I23)</f>
        <v>1.1287355901695542</v>
      </c>
      <c r="N23" t="s">
        <v>21</v>
      </c>
      <c r="O23" s="7"/>
    </row>
    <row r="25" spans="3:19" x14ac:dyDescent="0.25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3:19" x14ac:dyDescent="0.25">
      <c r="D26" s="1"/>
      <c r="E26" s="1"/>
      <c r="F26" s="1"/>
      <c r="G26" s="1"/>
      <c r="H26" s="1"/>
      <c r="I26" s="1"/>
      <c r="J26" s="1"/>
      <c r="K26" s="1"/>
      <c r="L26" s="12" t="s">
        <v>28</v>
      </c>
      <c r="M26" s="8" t="s">
        <v>29</v>
      </c>
      <c r="N26" s="10" t="s">
        <v>27</v>
      </c>
      <c r="O26" s="10">
        <f>(B15*C15)/9.55</f>
        <v>24393.599999999995</v>
      </c>
    </row>
    <row r="27" spans="3:19" x14ac:dyDescent="0.25">
      <c r="L27" s="12"/>
      <c r="M27" s="3">
        <v>9.5500000000000007</v>
      </c>
      <c r="N27" s="10"/>
      <c r="O27" s="10"/>
    </row>
    <row r="29" spans="3:19" x14ac:dyDescent="0.25">
      <c r="M29" s="1"/>
      <c r="N29" s="1"/>
      <c r="O29" s="1"/>
    </row>
    <row r="30" spans="3:19" x14ac:dyDescent="0.25">
      <c r="M30" s="1"/>
      <c r="N30" s="1"/>
      <c r="O30" s="1"/>
    </row>
  </sheetData>
  <mergeCells count="9">
    <mergeCell ref="E18:E19"/>
    <mergeCell ref="G18:G19"/>
    <mergeCell ref="H18:H19"/>
    <mergeCell ref="N20:N21"/>
    <mergeCell ref="O20:O21"/>
    <mergeCell ref="L20:L21"/>
    <mergeCell ref="O26:O27"/>
    <mergeCell ref="N26:N27"/>
    <mergeCell ref="L26:L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2025-04-20T06:13:07Z</dcterms:created>
  <dcterms:modified xsi:type="dcterms:W3CDTF">2025-04-20T10:10:00Z</dcterms:modified>
</cp:coreProperties>
</file>